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bott-my.sharepoint.com/personal/omaresteban_torreslancheros_abbott_com/Documents/Documents/"/>
    </mc:Choice>
  </mc:AlternateContent>
  <xr:revisionPtr revIDLastSave="7" documentId="8_{F2F5C2E6-E6D1-4513-B230-A307A974D3D1}" xr6:coauthVersionLast="47" xr6:coauthVersionMax="47" xr10:uidLastSave="{D1C70943-C5A1-46F3-AA84-65282EC8D561}"/>
  <bookViews>
    <workbookView xWindow="28680" yWindow="-7080" windowWidth="25440" windowHeight="15270" activeTab="2" xr2:uid="{E1BC1E76-F520-4CD4-85E4-5FCE1204B9A2}"/>
  </bookViews>
  <sheets>
    <sheet name="Parametros del plano" sheetId="1" r:id="rId1"/>
    <sheet name="Archivo Independiente" sheetId="2" r:id="rId2"/>
    <sheet name="Generacion" sheetId="3" r:id="rId3"/>
  </sheets>
  <definedNames>
    <definedName name="ExternalData_1" localSheetId="2" hidden="1">Generacion!$A$4:$A$9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10" i="2" l="1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P10" i="2" s="1"/>
  <c r="DQ10" i="2" s="1"/>
  <c r="DB10" i="2"/>
  <c r="DC10" i="2"/>
  <c r="DD10" i="2"/>
  <c r="DE10" i="2"/>
  <c r="DF10" i="2"/>
  <c r="DG10" i="2"/>
  <c r="DH10" i="2"/>
  <c r="DI10" i="2"/>
  <c r="DJ10" i="2"/>
  <c r="DK10" i="2"/>
  <c r="DL10" i="2" a="1"/>
  <c r="DL10" i="2"/>
  <c r="DM10" i="2"/>
  <c r="DN10" i="2"/>
  <c r="DO10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 a="1"/>
  <c r="DL9" i="2" s="1"/>
  <c r="DM9" i="2"/>
  <c r="DN9" i="2"/>
  <c r="DO9" i="2"/>
  <c r="G5" i="3" a="1"/>
  <c r="G5" i="3" s="1"/>
  <c r="H5" i="3" a="1"/>
  <c r="H5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Y5" i="3" a="1"/>
  <c r="Y5" i="3" s="1"/>
  <c r="Z5" i="3" a="1"/>
  <c r="Z5" i="3" s="1"/>
  <c r="AA5" i="3" a="1"/>
  <c r="AA5" i="3" s="1"/>
  <c r="AB5" i="3" a="1"/>
  <c r="AB5" i="3" s="1"/>
  <c r="AC5" i="3" a="1"/>
  <c r="AC5" i="3" s="1"/>
  <c r="AD5" i="3" a="1"/>
  <c r="AD5" i="3" s="1"/>
  <c r="AE5" i="3" a="1"/>
  <c r="AE5" i="3" s="1"/>
  <c r="AF5" i="3" a="1"/>
  <c r="AF5" i="3" s="1"/>
  <c r="AG5" i="3" a="1"/>
  <c r="AG5" i="3" s="1"/>
  <c r="AH5" i="3" a="1"/>
  <c r="AH5" i="3" s="1"/>
  <c r="AI5" i="3" a="1"/>
  <c r="AI5" i="3" s="1"/>
  <c r="AJ5" i="3" a="1"/>
  <c r="AJ5" i="3" s="1"/>
  <c r="AK5" i="3" a="1"/>
  <c r="AK5" i="3" s="1"/>
  <c r="AL5" i="3" a="1"/>
  <c r="AL5" i="3" s="1"/>
  <c r="AM5" i="3" a="1"/>
  <c r="AM5" i="3" s="1"/>
  <c r="AN5" i="3" a="1"/>
  <c r="AN5" i="3" s="1"/>
  <c r="AO5" i="3" a="1"/>
  <c r="AO5" i="3" s="1"/>
  <c r="AP5" i="3" a="1"/>
  <c r="AP5" i="3" s="1"/>
  <c r="AQ5" i="3" a="1"/>
  <c r="AQ5" i="3" s="1"/>
  <c r="AR5" i="3" a="1"/>
  <c r="AR5" i="3" s="1"/>
  <c r="AS5" i="3" a="1"/>
  <c r="AS5" i="3" s="1"/>
  <c r="AT5" i="3" a="1"/>
  <c r="AT5" i="3" s="1"/>
  <c r="AU5" i="3" a="1"/>
  <c r="AU5" i="3" s="1"/>
  <c r="AV5" i="3" a="1"/>
  <c r="AV5" i="3" s="1"/>
  <c r="AW5" i="3" a="1"/>
  <c r="AW5" i="3" s="1"/>
  <c r="AX5" i="3" a="1"/>
  <c r="AX5" i="3" s="1"/>
  <c r="AY5" i="3" a="1"/>
  <c r="AY5" i="3" s="1"/>
  <c r="AZ5" i="3" a="1"/>
  <c r="AZ5" i="3" s="1"/>
  <c r="BA5" i="3" a="1"/>
  <c r="BA5" i="3" s="1"/>
  <c r="BB5" i="3" a="1"/>
  <c r="BB5" i="3" s="1"/>
  <c r="BC5" i="3" a="1"/>
  <c r="BC5" i="3" s="1"/>
  <c r="BD5" i="3" a="1"/>
  <c r="BD5" i="3" s="1"/>
  <c r="BE5" i="3" a="1"/>
  <c r="BE5" i="3" s="1"/>
  <c r="BF5" i="3" a="1"/>
  <c r="BF5" i="3" s="1"/>
  <c r="BG5" i="3" a="1"/>
  <c r="BG5" i="3" s="1"/>
  <c r="BH5" i="3" a="1"/>
  <c r="BH5" i="3" s="1"/>
  <c r="BI5" i="3" a="1"/>
  <c r="BI5" i="3" s="1"/>
  <c r="BJ5" i="3" a="1"/>
  <c r="BJ5" i="3" s="1"/>
  <c r="BK5" i="3" a="1"/>
  <c r="BK5" i="3" s="1"/>
  <c r="E5" i="3" a="1"/>
  <c r="E5" i="3" s="1"/>
  <c r="F5" i="3" a="1"/>
  <c r="F5" i="3" s="1"/>
  <c r="D5" i="3" a="1"/>
  <c r="D5" i="3" s="1"/>
  <c r="C5" i="3" a="1"/>
  <c r="C5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BB2" i="3" s="1"/>
  <c r="BC2" i="3" s="1"/>
  <c r="BD2" i="3" s="1"/>
  <c r="BE2" i="3" s="1"/>
  <c r="BF2" i="3" s="1"/>
  <c r="BG2" i="3" s="1"/>
  <c r="BH2" i="3" s="1"/>
  <c r="BI2" i="3" s="1"/>
  <c r="BJ2" i="3" s="1"/>
  <c r="BK2" i="3" s="1"/>
  <c r="C1" i="3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H1" i="3" s="1"/>
  <c r="BI1" i="3" s="1"/>
  <c r="BJ1" i="3" s="1"/>
  <c r="BK1" i="3" s="1"/>
  <c r="B2" i="3"/>
  <c r="B5" i="3" a="1"/>
  <c r="B5" i="3" s="1"/>
  <c r="BF8" i="2"/>
  <c r="DO8" i="2"/>
  <c r="DN8" i="2"/>
  <c r="DM8" i="2"/>
  <c r="DL8" i="2" a="1"/>
  <c r="DL8" i="2" s="1"/>
  <c r="DK8" i="2"/>
  <c r="DJ8" i="2"/>
  <c r="DI8" i="2"/>
  <c r="DH8" i="2"/>
  <c r="DG8" i="2"/>
  <c r="DF8" i="2"/>
  <c r="DE8" i="2"/>
  <c r="DD8" i="2"/>
  <c r="DC8" i="2"/>
  <c r="DB8" i="2"/>
  <c r="DA8" i="2"/>
  <c r="CZ8" i="2"/>
  <c r="CY8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BZ8" i="2"/>
  <c r="BY8" i="2"/>
  <c r="BX8" i="2"/>
  <c r="BW8" i="2"/>
  <c r="BV8" i="2"/>
  <c r="BS8" i="2"/>
  <c r="BQ8" i="2"/>
  <c r="BP8" i="2"/>
  <c r="BO8" i="2"/>
  <c r="BM8" i="2"/>
  <c r="BL8" i="2"/>
  <c r="CH8" i="2"/>
  <c r="CG8" i="2"/>
  <c r="CF8" i="2"/>
  <c r="BR8" i="2"/>
  <c r="CE8" i="2"/>
  <c r="CA8" i="2"/>
  <c r="CD8" i="2"/>
  <c r="BK8" i="2"/>
  <c r="BN8" i="2"/>
  <c r="CC8" i="2"/>
  <c r="CB8" i="2"/>
  <c r="B2" i="1"/>
  <c r="H65" i="1"/>
  <c r="H64" i="1"/>
  <c r="H63" i="1"/>
  <c r="H62" i="1"/>
  <c r="H61" i="1"/>
  <c r="H60" i="1"/>
  <c r="H59" i="1"/>
  <c r="F5" i="1"/>
  <c r="F6" i="1" s="1"/>
  <c r="H4" i="1"/>
  <c r="BU8" i="2"/>
  <c r="BT8" i="2"/>
  <c r="BG8" i="2"/>
  <c r="BH8" i="2"/>
  <c r="BI8" i="2"/>
  <c r="BJ6" i="2"/>
  <c r="BJ8" i="2" s="1"/>
  <c r="DP9" i="2" l="1"/>
  <c r="DQ9" i="2" s="1"/>
  <c r="DP8" i="2"/>
  <c r="DQ8" i="2" s="1"/>
  <c r="F7" i="1"/>
  <c r="H6" i="1"/>
  <c r="H5" i="1"/>
  <c r="H7" i="1" l="1"/>
  <c r="F8" i="1"/>
  <c r="F9" i="1" l="1"/>
  <c r="H8" i="1"/>
  <c r="F10" i="1" l="1"/>
  <c r="H9" i="1"/>
  <c r="F11" i="1" l="1"/>
  <c r="H10" i="1"/>
  <c r="F12" i="1" l="1"/>
  <c r="H11" i="1"/>
  <c r="F13" i="1" l="1"/>
  <c r="H12" i="1"/>
  <c r="F14" i="1" l="1"/>
  <c r="H13" i="1"/>
  <c r="F15" i="1" l="1"/>
  <c r="H14" i="1"/>
  <c r="H15" i="1" l="1"/>
  <c r="F16" i="1"/>
  <c r="F17" i="1" l="1"/>
  <c r="H16" i="1"/>
  <c r="F18" i="1" l="1"/>
  <c r="H17" i="1"/>
  <c r="F19" i="1" l="1"/>
  <c r="H18" i="1"/>
  <c r="H19" i="1" l="1"/>
  <c r="F20" i="1"/>
  <c r="F21" i="1" l="1"/>
  <c r="H20" i="1"/>
  <c r="F22" i="1" l="1"/>
  <c r="H21" i="1"/>
  <c r="F23" i="1" l="1"/>
  <c r="H22" i="1"/>
  <c r="F24" i="1" l="1"/>
  <c r="H23" i="1"/>
  <c r="F25" i="1" l="1"/>
  <c r="H24" i="1"/>
  <c r="F26" i="1" l="1"/>
  <c r="H25" i="1"/>
  <c r="F27" i="1" l="1"/>
  <c r="H26" i="1"/>
  <c r="F28" i="1" l="1"/>
  <c r="H27" i="1"/>
  <c r="F29" i="1" l="1"/>
  <c r="H28" i="1"/>
  <c r="F30" i="1" l="1"/>
  <c r="H29" i="1"/>
  <c r="F31" i="1" l="1"/>
  <c r="H30" i="1"/>
  <c r="F32" i="1" l="1"/>
  <c r="H31" i="1"/>
  <c r="F33" i="1" l="1"/>
  <c r="H32" i="1"/>
  <c r="F34" i="1" l="1"/>
  <c r="H33" i="1"/>
  <c r="F35" i="1" l="1"/>
  <c r="H34" i="1"/>
  <c r="H35" i="1" l="1"/>
  <c r="F36" i="1"/>
  <c r="F37" i="1" l="1"/>
  <c r="H36" i="1"/>
  <c r="F38" i="1" l="1"/>
  <c r="H37" i="1"/>
  <c r="F39" i="1" l="1"/>
  <c r="H38" i="1"/>
  <c r="H39" i="1" l="1"/>
  <c r="F40" i="1"/>
  <c r="F41" i="1" l="1"/>
  <c r="H40" i="1"/>
  <c r="F42" i="1" l="1"/>
  <c r="H41" i="1"/>
  <c r="F43" i="1" l="1"/>
  <c r="H42" i="1"/>
  <c r="H43" i="1" l="1"/>
  <c r="F44" i="1"/>
  <c r="F45" i="1" l="1"/>
  <c r="H44" i="1"/>
  <c r="F46" i="1" l="1"/>
  <c r="H45" i="1"/>
  <c r="F47" i="1" l="1"/>
  <c r="H46" i="1"/>
  <c r="H47" i="1" l="1"/>
  <c r="F48" i="1"/>
  <c r="F49" i="1" l="1"/>
  <c r="H48" i="1"/>
  <c r="F50" i="1" l="1"/>
  <c r="H49" i="1"/>
  <c r="F51" i="1" l="1"/>
  <c r="H50" i="1"/>
  <c r="F52" i="1" l="1"/>
  <c r="H51" i="1"/>
  <c r="F53" i="1" l="1"/>
  <c r="H52" i="1"/>
  <c r="F54" i="1" l="1"/>
  <c r="H53" i="1"/>
  <c r="F55" i="1" l="1"/>
  <c r="H54" i="1"/>
  <c r="F56" i="1" l="1"/>
  <c r="H55" i="1"/>
  <c r="F57" i="1" l="1"/>
  <c r="H56" i="1"/>
  <c r="F58" i="1" l="1"/>
  <c r="H58" i="1" s="1"/>
  <c r="H5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4541F-3C44-411A-88FE-72674C7BCBB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<sst xmlns="http://schemas.openxmlformats.org/spreadsheetml/2006/main" count="760" uniqueCount="220">
  <si>
    <t>Numero de registro</t>
  </si>
  <si>
    <t>Tipo de registro</t>
  </si>
  <si>
    <t>Subtipo de registro</t>
  </si>
  <si>
    <t>Versión del tipo de registro</t>
  </si>
  <si>
    <t>Compañía</t>
  </si>
  <si>
    <t>Indica si remplaza la información del cliente cuando este ya existe</t>
  </si>
  <si>
    <t>Código del cliente</t>
  </si>
  <si>
    <t>Sucursal del cliente</t>
  </si>
  <si>
    <t>Estado del cliente</t>
  </si>
  <si>
    <t>Razón social del cliente</t>
  </si>
  <si>
    <t>Moneda</t>
  </si>
  <si>
    <t>Código de vendedor</t>
  </si>
  <si>
    <t>Calificación</t>
  </si>
  <si>
    <t>Condición de pago</t>
  </si>
  <si>
    <t>Días de gracia</t>
  </si>
  <si>
    <t>Cupo de crédito</t>
  </si>
  <si>
    <t>Código del cliente corporativo</t>
  </si>
  <si>
    <t>Sucursal del cliente corporativo</t>
  </si>
  <si>
    <t>Tipo de cliente</t>
  </si>
  <si>
    <t>Grupo de descuento</t>
  </si>
  <si>
    <t>Lista de precios</t>
  </si>
  <si>
    <t>Indicador de backorder</t>
  </si>
  <si>
    <t>Porcentaje para poder vender por encima de lo pedido</t>
  </si>
  <si>
    <t>Porcentaje de margen mínimo</t>
  </si>
  <si>
    <t>Porcentaje de margen máximo</t>
  </si>
  <si>
    <t>Indicador de bloqueado</t>
  </si>
  <si>
    <t>Indicador de bloquea por cupo</t>
  </si>
  <si>
    <t>Indicador de bloquea por mora</t>
  </si>
  <si>
    <t>Indicador de factura unificada</t>
  </si>
  <si>
    <t>Centro de operación por defecto para facturación</t>
  </si>
  <si>
    <t>Observaciones</t>
  </si>
  <si>
    <t>Contacto</t>
  </si>
  <si>
    <t>Dirección 1</t>
  </si>
  <si>
    <t>Dirección 2</t>
  </si>
  <si>
    <t>Dirección 3</t>
  </si>
  <si>
    <t>País</t>
  </si>
  <si>
    <t>Departamento</t>
  </si>
  <si>
    <t>Ciudad</t>
  </si>
  <si>
    <t>Barrio</t>
  </si>
  <si>
    <t>Teléfono</t>
  </si>
  <si>
    <t>Fax</t>
  </si>
  <si>
    <t>Código postal</t>
  </si>
  <si>
    <t>Dirección de correo electrónico</t>
  </si>
  <si>
    <t>Fecha de ingreso</t>
  </si>
  <si>
    <t>Centro de operación por defecto para el movimiento de ventas.</t>
  </si>
  <si>
    <t>Unidad de negocios por defecto para el movimiento de ventas.</t>
  </si>
  <si>
    <t>Parametro EDI</t>
  </si>
  <si>
    <t>Código EAN</t>
  </si>
  <si>
    <t>Fecha vigencia cupo</t>
  </si>
  <si>
    <t>Porcentaje de tolerancia</t>
  </si>
  <si>
    <t>Día máximo para realizar la facturación.</t>
  </si>
  <si>
    <t>Motivo de bloqueo</t>
  </si>
  <si>
    <t>Código de cobrador</t>
  </si>
  <si>
    <t>Indicador para compromiso con unidad de empaque principal</t>
  </si>
  <si>
    <t>Indicador evalua anticipo tercero corporativo.</t>
  </si>
  <si>
    <t>Telefono Celular</t>
  </si>
  <si>
    <t>Validar cupo despacho</t>
  </si>
  <si>
    <t xml:space="preserve">Porfalio edi </t>
  </si>
  <si>
    <t>Frecuencia entrega</t>
  </si>
  <si>
    <t>Compañía cliente corporativo</t>
  </si>
  <si>
    <t>Validar la cartera del cliente</t>
  </si>
  <si>
    <t>Valida el exceso en UM adicional</t>
  </si>
  <si>
    <t>Parametro</t>
  </si>
  <si>
    <t>Valor</t>
  </si>
  <si>
    <t>Empresa</t>
  </si>
  <si>
    <t>Numérico</t>
  </si>
  <si>
    <t>Alfanumérico</t>
  </si>
  <si>
    <t>F_NUMERO_REG</t>
  </si>
  <si>
    <t>F_TIPO_REG</t>
  </si>
  <si>
    <t>F_SUBTIPO_REG</t>
  </si>
  <si>
    <t>F_VERSION_REG</t>
  </si>
  <si>
    <t>F_CIA</t>
  </si>
  <si>
    <t>F_ACTUALIZA_REG</t>
  </si>
  <si>
    <t>F201_ID_TERCERO</t>
  </si>
  <si>
    <t>F201_ID_SUCURSAL</t>
  </si>
  <si>
    <t>F201_IND_ESTADO_ACTIVO</t>
  </si>
  <si>
    <t>F201_DESCRIPCION_SUCURSAL</t>
  </si>
  <si>
    <t>F201_ID_MONEDA</t>
  </si>
  <si>
    <t>F201_ID_VENDEDOR</t>
  </si>
  <si>
    <t>F201_IND_CALIFICACION</t>
  </si>
  <si>
    <t>F201_ID_COND_PAGO</t>
  </si>
  <si>
    <t>F201_DIAS_GRACIA</t>
  </si>
  <si>
    <t>F201_CUPO_CREDITO</t>
  </si>
  <si>
    <t>F201_ID_CLIENTE_CORP</t>
  </si>
  <si>
    <t>F201_ID_SUCURSAL_CORP</t>
  </si>
  <si>
    <t>F201_ID_TIPO_CLI</t>
  </si>
  <si>
    <t>F201_ID_GRUPO_DSCTO</t>
  </si>
  <si>
    <t>F201_ID_LISTA_PRECIO</t>
  </si>
  <si>
    <t>F201_IND_PEDIDO_BACKORDER</t>
  </si>
  <si>
    <t>F201_PORC_EXCESO_VENTA</t>
  </si>
  <si>
    <t>F201_PORC_MIN_MARGEN</t>
  </si>
  <si>
    <t>F201_PORC_MAX_MARGEN</t>
  </si>
  <si>
    <t>F201_IND_BLOQUEADO</t>
  </si>
  <si>
    <t>F201_IND_BLOQUEO_CUPO</t>
  </si>
  <si>
    <t>F201_IND_BLOQUEO_MORA</t>
  </si>
  <si>
    <t>F201_IND_FACTURA_UNIFICADA</t>
  </si>
  <si>
    <t>F201_ID_CO_FACTURA</t>
  </si>
  <si>
    <t>F201_NOTAS</t>
  </si>
  <si>
    <t>F015_CONTACTO</t>
  </si>
  <si>
    <t>F015_DIRECCION1</t>
  </si>
  <si>
    <t>F015_DIRECCION2</t>
  </si>
  <si>
    <t>F015_DIRECCION3</t>
  </si>
  <si>
    <t>F015_ID_PAIS</t>
  </si>
  <si>
    <t>F015_ID_DEPTO</t>
  </si>
  <si>
    <t>F015_ID_CIUDAD</t>
  </si>
  <si>
    <t>F015_ID_BARRIO</t>
  </si>
  <si>
    <t>F015_TELEFONO</t>
  </si>
  <si>
    <t>F015_FAX</t>
  </si>
  <si>
    <t>F015_COD_POSTAL</t>
  </si>
  <si>
    <t>F015_EMAIL</t>
  </si>
  <si>
    <t>F201_FECHA_INGRESO</t>
  </si>
  <si>
    <t>F201_ID_CO_MOVTO_FACTURA</t>
  </si>
  <si>
    <t>F201_ID_UN_MOVTO_FACTURA</t>
  </si>
  <si>
    <t>F201_ID_PARAMETRO_EDI</t>
  </si>
  <si>
    <t>F201_CODIGO_EAN</t>
  </si>
  <si>
    <t>f201_fecha_cupo</t>
  </si>
  <si>
    <t>f201_porc_tolerancia</t>
  </si>
  <si>
    <t>f201_dia_maximo_factura</t>
  </si>
  <si>
    <t>f201_id_motivo_bloqueo</t>
  </si>
  <si>
    <t>f201_id_cobrador</t>
  </si>
  <si>
    <t>f201_ind_compromiso_um_emp</t>
  </si>
  <si>
    <t>f201_ind_anticipo_terc_corp</t>
  </si>
  <si>
    <t>f015_celular</t>
  </si>
  <si>
    <t>f201_valida_cupo_despacho</t>
  </si>
  <si>
    <t>f201_id_portafolio_edi</t>
  </si>
  <si>
    <t>f201_frecuencia_entrega</t>
  </si>
  <si>
    <t>f201_id_cia_cliente_corp</t>
  </si>
  <si>
    <t>f201_ind_valida_cartera_des</t>
  </si>
  <si>
    <t>f201_ind_exceso_venta_adic</t>
  </si>
  <si>
    <t>00</t>
  </si>
  <si>
    <t>Si</t>
  </si>
  <si>
    <t>No</t>
  </si>
  <si>
    <t>Dep</t>
  </si>
  <si>
    <t>Numero consecutivo</t>
  </si>
  <si>
    <t>Valor fijo = 201</t>
  </si>
  <si>
    <t>Valor fijo = 00</t>
  </si>
  <si>
    <t>Versión = 15</t>
  </si>
  <si>
    <t>Valida en maestro, código de la compañía a la cual pertenece la información del registro</t>
  </si>
  <si>
    <t>0=No, 1=Si</t>
  </si>
  <si>
    <t>1=Activo; 0=Inactivo</t>
  </si>
  <si>
    <t>Razón social para la sucursal del cliente.</t>
  </si>
  <si>
    <t>Valida en maestro, código de moneda por defecto del cliente.</t>
  </si>
  <si>
    <t>Valida en maestro, código de vendedor asignado al cliente.</t>
  </si>
  <si>
    <t>Campo para calificar al cliente, aquí debe ir 'A', 'B' o 'C'.</t>
  </si>
  <si>
    <t>Valida en maestro, código de condición de pago asignada a este cliente</t>
  </si>
  <si>
    <t>Días de gracia otorgados al cliente</t>
  </si>
  <si>
    <t>Cupo de crédito otorgado al cliente, el formato debe ser (signo + 15 enteros + punto + 4 decimales) (+000000000000000.0000), se debe dejar en cero si se maneja cliente corporativo. Nota: El máximo valor a importar en el cupo crédito es de 99999999999.9999</t>
  </si>
  <si>
    <t>Código del cliente, junto con la sucursal debe ser diferentes a f201_id_tercero / f201_id_sucursal. Obligatorio si se da el campo f201_id_cia_cliente_corp</t>
  </si>
  <si>
    <t>Sucursal del cliente,  junto con el tercero debe ser diferentes a f201_id_tercero / f201_id_sucursal. . Obligatorio si se da el campo f201_id_cia_cliente_corp</t>
  </si>
  <si>
    <t>Valida en maestro, tipo de cliente asignado al cliente</t>
  </si>
  <si>
    <t>Solo se requiere si tiene el sistema comercial, valida en maestro de grupos de descuento (TR=109)</t>
  </si>
  <si>
    <t>Solo se requiere si tiene el sistema comercial, valida en maestro de listas de precios (TR=112)</t>
  </si>
  <si>
    <t>Solo se requiere si tiene el sistema comercial 
0=Despachar solo lo disponible y lo demás pendiente
1=Despachar solo lo disponible y lo demás cancele
2=Despachar solo líneas completas y lo demás pendiente
3=Despachar solo líneas completas y lo demás cancele   4=Despachar pedido completo                                       5=Por linea                                                                  6=Facturación diferida</t>
  </si>
  <si>
    <t>Solo se requiere si tiene el sistema comercial, porcentaje para poder vender por encima de lo pedido, debe estar entre 0 y 9999, el formato debe ser (4 enteros + punto + 2 decimales) (0000.00)</t>
  </si>
  <si>
    <t>Solo se requiere si tiene el sistema comercial, porcentaje de margen mínimo, debe estar entre 0 y 9999, el formato debe ser (4 enteros + punto + 2 decimales) (0000.00)</t>
  </si>
  <si>
    <t>Solo se requiere si tiene el sistema comercial, porcentaje de margen máximo debe estar entre porcentaje mínimo y 9999, el formato debe ser (4 enteros + punto + 2 decimales) (0000.00)</t>
  </si>
  <si>
    <t>Solo se requiere si tiene el sistema comercial, 1=Activo; 0=Bloqueado</t>
  </si>
  <si>
    <t>Solo se requiere si tiene el sistema comercial, 0=No, 1=Si</t>
  </si>
  <si>
    <t>Solo se requiere si tiene el sistema comercial, Valida en maestro de centros de operación (TR=285)</t>
  </si>
  <si>
    <t>Nombre de la persona de contacto</t>
  </si>
  <si>
    <t>Renglón 1 de la dirección del contacto</t>
  </si>
  <si>
    <t>Renglón 2 de la dirección del contacto</t>
  </si>
  <si>
    <t>Renglón 3 de la dirección del contacto</t>
  </si>
  <si>
    <t>Valida en maestro, código del país</t>
  </si>
  <si>
    <t>Valida en maestro, código del departamento, solo se debe usar si existe país</t>
  </si>
  <si>
    <t>Valida en maestro, código de la ciudad, solo se debe usar si existe depto</t>
  </si>
  <si>
    <t xml:space="preserve">Barrio </t>
  </si>
  <si>
    <t>código postal o apartado aéreo</t>
  </si>
  <si>
    <t>dirección de correo electrónico</t>
  </si>
  <si>
    <t>Fecha de ingreso AAAAMMDD</t>
  </si>
  <si>
    <t>Solo se requiere si tiene el sistema comercial, Valida en maestro de unidades de negocio (TR=285)</t>
  </si>
  <si>
    <t>Código del parametro EDI, valida en maestro de parametros EDI.</t>
  </si>
  <si>
    <t>Código EAN del cliente</t>
  </si>
  <si>
    <t>Fecha vigencia cupo AAAAMMDD</t>
  </si>
  <si>
    <t>Porcentaje de tolerancia el cual permite ampliar el cupo del cliente. Debe estar entre 0 y 100 el formato debe ser (4 enteros + punto + 2 decimales) (0000.00)</t>
  </si>
  <si>
    <t>Valida en maestro, código de cobrador asignado al cliente.</t>
  </si>
  <si>
    <t>Celular</t>
  </si>
  <si>
    <t xml:space="preserve">Valida el cupo despacho del cliente al aprobar un pedido </t>
  </si>
  <si>
    <t>Código de portafolio EDI de puntos de venta</t>
  </si>
  <si>
    <t>Sirve para validar los días de entrega del cliente en la importación EDI, Formato "0000000" Cada posicion corresponde a un dia, para activar el dia se debe colocar 1 unido sin simbolos de separacion, desde lunes a domingo.</t>
  </si>
  <si>
    <t>Si se envia cliente corporativo, debe pertenecer a esta compañía. Es obligatorio si se envia el campo f201_id_cliente_corp o f201_id_sucursal_corp. Valida en maestro de compañias</t>
  </si>
  <si>
    <t>Indicador con 3 opciones
0: Validar la cartera del cliente sólo al aprobar el pedido
1:Validar la cartera del cliente sólo para despacho 
2: Validar la cartera del cliente al aprobar y al despacho</t>
  </si>
  <si>
    <t>NOMBRE</t>
  </si>
  <si>
    <t>DESCRIPCION</t>
  </si>
  <si>
    <t>TIPO</t>
  </si>
  <si>
    <t>OBSERVACIONES</t>
  </si>
  <si>
    <t>OBL</t>
  </si>
  <si>
    <t>INICIO</t>
  </si>
  <si>
    <t>TAMAÑO</t>
  </si>
  <si>
    <t>TOTAL</t>
  </si>
  <si>
    <t>A</t>
  </si>
  <si>
    <t>0000000</t>
  </si>
  <si>
    <t>NUEVO</t>
  </si>
  <si>
    <t>USD</t>
  </si>
  <si>
    <t>G</t>
  </si>
  <si>
    <t>LOK45</t>
  </si>
  <si>
    <t>NUE</t>
  </si>
  <si>
    <t>L01</t>
  </si>
  <si>
    <t>ESTA ES UNA VERSION DE PRUEBA</t>
  </si>
  <si>
    <t>la direccion de paquito</t>
  </si>
  <si>
    <t>calle 500 n 95 103</t>
  </si>
  <si>
    <t>658525A</t>
  </si>
  <si>
    <t>KOK5465</t>
  </si>
  <si>
    <t>111510DAS</t>
  </si>
  <si>
    <t>omarto.97@gmail.com</t>
  </si>
  <si>
    <t>F45</t>
  </si>
  <si>
    <t>B15</t>
  </si>
  <si>
    <t>C01</t>
  </si>
  <si>
    <t>HGH455</t>
  </si>
  <si>
    <t>AS45</t>
  </si>
  <si>
    <t>CLAVE</t>
  </si>
  <si>
    <t>LONGITUD</t>
  </si>
  <si>
    <t>000000100000001001</t>
  </si>
  <si>
    <t>0000002020100150011154564         1  1NUEVO                                   USD2   AG  015+000000000500000.0000LOK45          2  NUE 201 L0120500.200100.500080.6511115  ESTA ES UNA VERSION DE PRUEBA                                                                                                                                                                                                                                  3057233244                                        la direccion de paquito                 calle 500 n 95 103                                                              10120105AS45                                    658525A             KOK5465             111510DAS omarto.97@gmail.com                                                                                                                                                                                                                                            202604155  5                   F45 45646489                           202602050085.2020B15C01 013219715874                                        1HGH455    000000015 21</t>
  </si>
  <si>
    <t>CONVERSION PLANO</t>
  </si>
  <si>
    <t>Inicio</t>
  </si>
  <si>
    <t>Fin</t>
  </si>
  <si>
    <t>0000003020100150011154564         1  1NUEVO                                   USD2   AG  015+000000000500000.0000LOK45          2  NUE 201 L0120500.200100.500080.6511115  ESTA ES UNA VERSION DE PRUEBA                                                                                                                                                                                                                                  3057233244                                        la direccion de paquito                 calle 500 n 95 103                                                              10120105AS45                                    658525A             KOK5465             111510DAS omarto.97@gmail.com                                                                                                                                                                                                                                            202604155  5                   F45 45646489                           202602050085.2020B15C01 013219715874                                        1HGH455    000000015 21</t>
  </si>
  <si>
    <t>0000004020100150011154564         1  1NUEVO                                   USD2   AG  015+000000000500000.0000LOK45          2  NUE 201 L0120500.200100.500080.6511115  ESTA ES UNA VERSION DE PRUEBA                                                                                                                                                                                                                                  3057233244                                        la direccion de paquito                 calle 500 n 95 103                                                              10120105AS45                                    658525A             KOK5465             111510DAS omarto.97@gmail.com                                                                                                                                                                                                                                            202604155  5                   F45 45646489                           202602050085.2020B15C01 013219715874                                        1HGH455    000000015 21</t>
  </si>
  <si>
    <t>000000599990001001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</si>
</sst>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&quot;$&quot;\ * #,##0.00_-;\-&quot;$&quot;\ * #,##0.00_-;_-&quot;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rial"/>
      <family val="2"/>
    </font>
    <font>
      <b/>
      <sz val="18"/>
      <color theme="1"/>
      <name val="Aptos Narrow"/>
      <family val="2"/>
      <scheme val="minor"/>
    </font>
    <font>
      <sz val="10"/>
      <color indexed="8"/>
      <name val="Times New Roman"/>
      <family val="1"/>
    </font>
    <font>
      <u/>
      <sz val="11"/>
      <color theme="10"/>
      <name val="Aptos Narrow"/>
      <family val="2"/>
      <scheme val="minor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168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/>
    <xf numFmtId="0" fontId="4" fillId="0" borderId="0" xfId="0" applyFont="1" applyAlignment="1">
      <alignment horizontal="left"/>
    </xf>
    <xf numFmtId="0" fontId="2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6" fillId="0" borderId="0" xfId="1" applyAlignment="1">
      <alignment horizontal="center" vertical="center"/>
    </xf>
    <xf numFmtId="0" fontId="0" fillId="0" borderId="0" xfId="0" applyNumberFormat="1" applyAlignment="1"/>
  </cellXfs>
  <cellStyles count="4">
    <cellStyle name="Hyperlink" xfId="1" builtinId="8"/>
    <cellStyle name="Moneda 2" xfId="3" xr:uid="{00383F5B-5414-4AC5-BB5A-93E691A24A3A}"/>
    <cellStyle name="Normal" xfId="0" builtinId="0"/>
    <cellStyle name="Normal 2" xfId="2" xr:uid="{51E393A8-19EA-49AB-BF47-39FE27A09476}"/>
  </cellStyles>
  <dxfs count="125"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317B1C-F40D-44E2-9679-5EA32E9834BC}" autoFormatId="16" applyNumberFormats="0" applyBorderFormats="0" applyFontFormats="0" applyPatternFormats="0" applyAlignmentFormats="0" applyWidthHeightFormats="0">
  <queryTableRefresh nextId="3">
    <queryTableFields count="1">
      <queryTableField id="2" name="CONVERSION PLANO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0F6CEB-D288-4112-A378-1CC7DDB332FB}" name="Table1" displayName="Table1" ref="A7:DQ10" totalsRowShown="0" headerRowDxfId="124" dataDxfId="3">
  <autoFilter ref="A7:DQ10" xr:uid="{990F6CEB-D288-4112-A378-1CC7DDB332FB}"/>
  <tableColumns count="121">
    <tableColumn id="68" xr3:uid="{341996F9-4665-4CFE-BA31-E5A68632AB33}" name="Indica si remplaza la información del cliente cuando este ya existe" dataDxfId="123"/>
    <tableColumn id="69" xr3:uid="{0AA67DA9-6000-4E88-800A-C21B6A42AB8D}" name="Código del cliente" dataDxfId="122"/>
    <tableColumn id="70" xr3:uid="{7ECB1735-916E-4E88-8F19-28F389C8C27A}" name="Sucursal del cliente" dataDxfId="121"/>
    <tableColumn id="71" xr3:uid="{88D1A182-6522-4F5C-B46D-4DD825ACDB6F}" name="Estado del cliente" dataDxfId="120"/>
    <tableColumn id="72" xr3:uid="{2454F4D8-C9D7-4BE9-833C-52D70FD12045}" name="Razón social del cliente" dataDxfId="119"/>
    <tableColumn id="73" xr3:uid="{3EE78699-038C-406C-B304-0A630DA614D6}" name="Moneda" dataDxfId="118"/>
    <tableColumn id="74" xr3:uid="{74905000-8077-40FB-B2CE-03FBB166078E}" name="Código de vendedor" dataDxfId="117"/>
    <tableColumn id="75" xr3:uid="{75136BA6-C385-4D34-B77C-3BCB9F9DA37F}" name="Calificación" dataDxfId="116"/>
    <tableColumn id="76" xr3:uid="{3880A50A-94F5-4B9F-B6AF-D42B818D6E0C}" name="Condición de pago" dataDxfId="115"/>
    <tableColumn id="77" xr3:uid="{769F0CDB-947F-4EF6-A1F8-E4B98CB2745D}" name="Días de gracia" dataDxfId="114"/>
    <tableColumn id="78" xr3:uid="{1434639C-3A61-4B53-A638-697F74987FF5}" name="Cupo de crédito" dataDxfId="113"/>
    <tableColumn id="79" xr3:uid="{2FEC31B9-F438-4747-B305-ED21A9DD2E05}" name="Código del cliente corporativo" dataDxfId="112"/>
    <tableColumn id="80" xr3:uid="{9742FD17-B46E-4CE3-99A8-626EAFC8EE8A}" name="Sucursal del cliente corporativo" dataDxfId="111"/>
    <tableColumn id="81" xr3:uid="{24FEC24C-680C-4ACA-B13C-71F4760E9999}" name="Tipo de cliente" dataDxfId="110"/>
    <tableColumn id="82" xr3:uid="{86E37DBF-25E0-4A95-AAB4-C4C6BB65D2D9}" name="Grupo de descuento" dataDxfId="109"/>
    <tableColumn id="83" xr3:uid="{02465634-F125-41A1-91E9-2D879E428481}" name="Lista de precios" dataDxfId="108"/>
    <tableColumn id="84" xr3:uid="{60EFB296-318E-46EA-9BF3-2C8C56313C10}" name="Indicador de backorder" dataDxfId="107"/>
    <tableColumn id="85" xr3:uid="{3195DE7E-4A6E-424A-92A5-25602BE069C5}" name="Porcentaje para poder vender por encima de lo pedido" dataDxfId="106"/>
    <tableColumn id="86" xr3:uid="{6F622E9B-5AF0-44F9-904E-8C7629A85990}" name="Porcentaje de margen mínimo" dataDxfId="105"/>
    <tableColumn id="87" xr3:uid="{E7981D72-0883-42AD-A2ED-80DF7E0260E0}" name="Porcentaje de margen máximo" dataDxfId="104"/>
    <tableColumn id="88" xr3:uid="{2EE11CE7-2216-4DA8-B0B2-C64D0B62613E}" name="Indicador de bloqueado" dataDxfId="103"/>
    <tableColumn id="89" xr3:uid="{0EF57D6B-A29A-4F58-BB2D-ADCC6CACD645}" name="Indicador de bloquea por cupo" dataDxfId="102"/>
    <tableColumn id="90" xr3:uid="{4FA5DD8B-E8CF-4CDF-A261-C0B606B03537}" name="Indicador de bloquea por mora" dataDxfId="101"/>
    <tableColumn id="91" xr3:uid="{E7FC6DF2-2FC9-4D54-A908-C6340D396507}" name="Indicador de factura unificada" dataDxfId="100"/>
    <tableColumn id="92" xr3:uid="{37903DE2-7AD0-4FA7-AD4F-B937A4066285}" name="Centro de operación por defecto para facturación" dataDxfId="99"/>
    <tableColumn id="93" xr3:uid="{761117FF-660F-4FFE-B1EE-7B7C9E11510F}" name="Observaciones" dataDxfId="98"/>
    <tableColumn id="94" xr3:uid="{97812D70-E9C9-4868-8D26-F04467466F2D}" name="Contacto" dataDxfId="97"/>
    <tableColumn id="95" xr3:uid="{CE09A84A-3082-4E3A-92EC-1C9A444A8F4F}" name="Dirección 1" dataDxfId="96"/>
    <tableColumn id="96" xr3:uid="{E4D16449-835E-4EB5-8276-75C1420A1560}" name="Dirección 2" dataDxfId="95"/>
    <tableColumn id="97" xr3:uid="{076BFA12-D72D-46DE-A0CE-70FC130F05FD}" name="Dirección 3" dataDxfId="94"/>
    <tableColumn id="98" xr3:uid="{532EBECF-F967-45A4-9F77-11FECC59ADE7}" name="País" dataDxfId="93"/>
    <tableColumn id="99" xr3:uid="{6E49DBBF-3B18-4C4C-AF45-6FCCEF5ADC00}" name="Departamento" dataDxfId="92"/>
    <tableColumn id="100" xr3:uid="{DEA0E1CD-70E7-40F3-A32A-9BA4B167F9B7}" name="Ciudad" dataDxfId="91"/>
    <tableColumn id="101" xr3:uid="{D1F7EC66-857F-4847-88CE-9803A16E98F7}" name="Barrio" dataDxfId="90"/>
    <tableColumn id="102" xr3:uid="{DCE1EDCE-9A2D-481E-B1BD-1778B2117F55}" name="Teléfono" dataDxfId="89"/>
    <tableColumn id="103" xr3:uid="{401F7F98-7133-4E7A-B7C1-A83786F0B51C}" name="Fax" dataDxfId="88"/>
    <tableColumn id="104" xr3:uid="{35B68F2C-2A4A-4AEE-A1BD-38F0A486F0C6}" name="Código postal" dataDxfId="87"/>
    <tableColumn id="105" xr3:uid="{CE77C769-C4AC-4F02-8CAE-8F518334F630}" name="Dirección de correo electrónico" dataDxfId="86" dataCellStyle="Hyperlink"/>
    <tableColumn id="106" xr3:uid="{27A42DA8-6B2A-43F4-ABE0-5E242E68E8E8}" name="Fecha de ingreso" dataDxfId="85"/>
    <tableColumn id="107" xr3:uid="{D8A8BB47-B00E-4884-A02C-8E95410C54AD}" name="Centro de operación por defecto para el movimiento de ventas." dataDxfId="84"/>
    <tableColumn id="108" xr3:uid="{B3D923CE-E1A8-4F37-88E4-6FB442C33608}" name="Unidad de negocios por defecto para el movimiento de ventas." dataDxfId="83"/>
    <tableColumn id="109" xr3:uid="{F2C2BFFD-8DB5-43F6-8AA5-CAFBBB472923}" name="Parametro EDI" dataDxfId="82"/>
    <tableColumn id="110" xr3:uid="{A440F3C6-5235-4FD7-BB11-CC7A8B0F0FAC}" name="Código EAN" dataDxfId="81"/>
    <tableColumn id="111" xr3:uid="{4A5D22A0-09A4-403B-9376-4534122E1119}" name="Fecha vigencia cupo" dataDxfId="80"/>
    <tableColumn id="112" xr3:uid="{5A3D4C4F-D79D-46E0-B996-7A60C643AD23}" name="Porcentaje de tolerancia" dataDxfId="79"/>
    <tableColumn id="113" xr3:uid="{1B85C2AE-7307-4318-A5CD-39712C3F3A6C}" name="Día máximo para realizar la facturación." dataDxfId="78"/>
    <tableColumn id="114" xr3:uid="{846041EB-EA23-4527-8A6F-E1C210C8EEC1}" name="Motivo de bloqueo" dataDxfId="77"/>
    <tableColumn id="115" xr3:uid="{14D37D56-6B67-45A7-9205-23C2B2C7B173}" name="Código de cobrador" dataDxfId="76"/>
    <tableColumn id="116" xr3:uid="{769A16A9-3E13-475D-9176-3DA86161521F}" name="Indicador para compromiso con unidad de empaque principal" dataDxfId="75"/>
    <tableColumn id="117" xr3:uid="{9F8C5150-CC69-41D3-899B-2CD5EB40D26E}" name="Indicador evalua anticipo tercero corporativo." dataDxfId="74"/>
    <tableColumn id="118" xr3:uid="{1E274819-2D82-4A74-B92D-D27C2D6B0A6A}" name="Telefono Celular" dataDxfId="73"/>
    <tableColumn id="119" xr3:uid="{C8C6A725-EDBE-41C8-BBF0-38BE2FEE0FB2}" name="Validar cupo despacho" dataDxfId="72"/>
    <tableColumn id="120" xr3:uid="{DE193133-1E5D-4D1D-99F8-89B2B15DB97C}" name="Porfalio edi " dataDxfId="71"/>
    <tableColumn id="121" xr3:uid="{50FA2F8C-35A9-4D49-A540-A6C95904ECB3}" name="Frecuencia entrega" dataDxfId="70"/>
    <tableColumn id="122" xr3:uid="{701A8CD8-7AD7-46D1-B4F8-0FF272D7C171}" name="Compañía cliente corporativo" dataDxfId="69"/>
    <tableColumn id="123" xr3:uid="{8567DD4E-5A0A-4881-8129-0CD104026678}" name="Validar la cartera del cliente" dataDxfId="68"/>
    <tableColumn id="124" xr3:uid="{ABE117E0-33A0-4E3C-B67F-826B92126EAC}" name="Valida el exceso en UM adicional" dataDxfId="67"/>
    <tableColumn id="1" xr3:uid="{E3B9DDD6-D350-401E-B17A-7832E2DAF04B}" name="F_NUMERO_REG" dataDxfId="66">
      <calculatedColumnFormula>TEXT(ROW(Table1[[#This Row],[Valida el exceso en UM adicional]])-6,REPT("0",$BF$3))</calculatedColumnFormula>
    </tableColumn>
    <tableColumn id="2" xr3:uid="{DF386D10-B53C-4522-AA95-A0D47223C830}" name="F_TIPO_REG" dataDxfId="65">
      <calculatedColumnFormula>TEXT($BG$6,REPT("0",$BG$3))</calculatedColumnFormula>
    </tableColumn>
    <tableColumn id="3" xr3:uid="{0905EE2A-8831-4E6B-B2BC-E11516B71A95}" name="F_SUBTIPO_REG" dataDxfId="64">
      <calculatedColumnFormula>TEXT($BH$6,REPT("0",$BH$3))</calculatedColumnFormula>
    </tableColumn>
    <tableColumn id="4" xr3:uid="{553BCAA9-CA15-4EFE-8C09-2AE419B8F84C}" name="F_VERSION_REG" dataDxfId="63">
      <calculatedColumnFormula>TEXT($BI$6,REPT("0",$BI$3))</calculatedColumnFormula>
    </tableColumn>
    <tableColumn id="5" xr3:uid="{FA39FEE6-4ED8-4E41-8398-1E1343B3DB48}" name="F_CIA" dataDxfId="62">
      <calculatedColumnFormula>TEXT($BJ$6,REPT("0",$BJ$3))</calculatedColumnFormula>
    </tableColumn>
    <tableColumn id="6" xr3:uid="{887106A2-4E15-4FFE-8645-0CCBF6233A20}" name="F_ACTUALIZA_REG" dataDxfId="61">
      <calculatedColumnFormula>IF(OR(_xlfn.NUMBERVALUE(Table1[[#This Row],[Indica si remplaza la información del cliente cuando este ya existe]])=1,_xlfn.NUMBERVALUE(Table1[[#This Row],[Indica si remplaza la información del cliente cuando este ya existe]])=0),_xlfn.NUMBERVALUE(Table1[[#This Row],[Indica si remplaza la información del cliente cuando este ya existe]]),0/0)</calculatedColumnFormula>
    </tableColumn>
    <tableColumn id="7" xr3:uid="{2537C9C9-1805-4708-B558-38F6D59950AA}" name="F201_ID_TERCERO" dataDxfId="60">
      <calculatedColumnFormula>_xlfn.LET(_xlpm.valor,Table1[[#This Row],[Código del cliente]], _xlpm.limpieza, TRIM(_xlpm.valor), _xlpm.long, LEN(_xlpm.limpieza), _xlpm.validacion, _xlpm.long&lt;=$BL$3, IF(_xlpm.validacion, _xlpm.limpieza&amp;REPT(" ",$BL$3-_xlpm.long), 0/0))</calculatedColumnFormula>
    </tableColumn>
    <tableColumn id="8" xr3:uid="{252A90DE-DACE-45B4-8D79-2FFFD74A28A3}" name="F201_ID_SUCURSAL" dataDxfId="59">
      <calculatedColumnFormula>_xlfn.LET(_xlpm.valor,Table1[[#This Row],[Sucursal del cliente]], _xlpm.limpieza, TRIM(_xlpm.valor), _xlpm.long, LEN(_xlpm.limpieza), _xlpm.validacion, _xlpm.long&lt;=$BM$3, IF(_xlpm.validacion, _xlpm.limpieza&amp;REPT(" ",$BM$3-_xlpm.long), 0/0))</calculatedColumnFormula>
    </tableColumn>
    <tableColumn id="9" xr3:uid="{9CDB5F75-F707-422C-91EE-94279E35299F}" name="F201_IND_ESTADO_ACTIVO" dataDxfId="58">
      <calculatedColumnFormula>IF(OR(_xlfn.NUMBERVALUE(Table1[[#This Row],[Estado del cliente]])=1,_xlfn.NUMBERVALUE(Table1[[#This Row],[Estado del cliente]])=0),_xlfn.NUMBERVALUE(Table1[[#This Row],[Estado del cliente]]),0/0)</calculatedColumnFormula>
    </tableColumn>
    <tableColumn id="10" xr3:uid="{03E88745-F168-43C9-89F4-235791F14306}" name="F201_DESCRIPCION_SUCURSAL" dataDxfId="57">
      <calculatedColumnFormula>_xlfn.LET(_xlpm.valor,Table1[[#This Row],[Razón social del cliente]], _xlpm.limpieza, TRIM(_xlpm.valor), _xlpm.long, LEN(_xlpm.limpieza), _xlpm.validacion, _xlpm.long&lt;=$BO$3, IF(_xlpm.validacion, _xlpm.limpieza&amp;REPT(" ",$BO$3-_xlpm.long), 0/0))</calculatedColumnFormula>
    </tableColumn>
    <tableColumn id="11" xr3:uid="{160F866F-F572-4080-B7B6-8B135997F7DE}" name="F201_ID_MONEDA" dataDxfId="56">
      <calculatedColumnFormula>_xlfn.LET(_xlpm.valor,Table1[[#This Row],[Moneda]], _xlpm.limpieza, TRIM(_xlpm.valor), _xlpm.long, LEN(_xlpm.limpieza), _xlpm.validacion, _xlpm.long&lt;=$BP$3, IF(_xlpm.validacion, _xlpm.limpieza&amp;REPT(" ",$BP$3-_xlpm.long), 0/0))</calculatedColumnFormula>
    </tableColumn>
    <tableColumn id="12" xr3:uid="{0E016E1F-2670-4A24-9C3D-442A416A95E4}" name="F201_ID_VENDEDOR" dataDxfId="55">
      <calculatedColumnFormula>_xlfn.LET(_xlpm.valor,Table1[[#This Row],[Código de vendedor]], _xlpm.limpieza, TRIM(_xlpm.valor), _xlpm.long, LEN(_xlpm.limpieza), _xlpm.validacion, _xlpm.long&lt;=$BQ$3, IF(_xlpm.validacion, _xlpm.limpieza&amp;REPT(" ",$BQ$3-_xlpm.long), 0/0))</calculatedColumnFormula>
    </tableColumn>
    <tableColumn id="13" xr3:uid="{0A7BF6C4-EB3E-436B-BEF3-48C8742C49CB}" name="F201_IND_CALIFICACION" dataDxfId="54">
      <calculatedColumnFormula>IF(ISNUMBER(MATCH(Table1[[#This Row],[Calificación]],{"A","B","C"},0)), Table1[[#This Row],[Calificación]],0/0)</calculatedColumnFormula>
    </tableColumn>
    <tableColumn id="14" xr3:uid="{BC4EC700-F897-448D-9365-FE27D1A32856}" name="F201_ID_COND_PAGO" dataDxfId="53">
      <calculatedColumnFormula>_xlfn.LET(_xlpm.valor,Table1[[#This Row],[Condición de pago]], _xlpm.limpieza, TRIM(_xlpm.valor), _xlpm.long, LEN(_xlpm.limpieza), _xlpm.validacion, _xlpm.long&lt;=$BS$3, IF(_xlpm.validacion, _xlpm.limpieza&amp;REPT(" ",$BS$3-_xlpm.long), 0/0))</calculatedColumnFormula>
    </tableColumn>
    <tableColumn id="15" xr3:uid="{FD2C7F04-6E0A-4543-B964-6C9280246C33}" name="F201_DIAS_GRACIA" dataDxfId="52">
      <calculatedColumnFormula>TEXT(ROUND(_xlfn.NUMBERVALUE(Table1[[#This Row],[Días de gracia]]),0), REPT("0",$BT$3))</calculatedColumnFormula>
    </tableColumn>
    <tableColumn id="16" xr3:uid="{7A2E162D-87A4-4111-B397-3C7FF5D15A02}" name="F201_CUPO_CREDITO" dataDxfId="51">
      <calculatedColumnFormula>_xlfn.LET(_xlpm.valor, Table1[[#This Row],[Cupo de crédito]], _xlpm.numero, _xlfn.NUMBERVALUE(_xlpm.valor), _xlpm.signo, IF(_xlpm.numero&gt;=0,"+", "-"), _xlpm.formato, _xlpm.signo &amp; REPLACE(TEXT(_xlpm.numero,"000000000000000.0000"),16,1,"."), _xlpm.formato)</calculatedColumnFormula>
    </tableColumn>
    <tableColumn id="17" xr3:uid="{7D51431B-2AF0-4CEB-85B8-EACF1B05FD31}" name="F201_ID_CLIENTE_CORP" dataDxfId="50">
      <calculatedColumnFormula>_xlfn.LET(_xlpm.valor,Table1[[#This Row],[Código del cliente corporativo]], _xlpm.limpieza, TRIM(_xlpm.valor), _xlpm.long, LEN(_xlpm.limpieza), _xlpm.validacion, _xlpm.long&lt;=$BV$3, IF(_xlpm.validacion, _xlpm.limpieza&amp;REPT(" ",$BV$3-_xlpm.long), 0/0))</calculatedColumnFormula>
    </tableColumn>
    <tableColumn id="18" xr3:uid="{D7FAD5B4-21A4-4704-A5DA-0705A87E0478}" name="F201_ID_SUCURSAL_CORP" dataDxfId="49">
      <calculatedColumnFormula>_xlfn.LET(_xlpm.valor,Table1[[#This Row],[Sucursal del cliente corporativo]], _xlpm.limpieza, TRIM(_xlpm.valor), _xlpm.long, LEN(_xlpm.limpieza), _xlpm.validacion, _xlpm.long&lt;=$BW$3, IF(_xlpm.validacion, _xlpm.limpieza&amp;REPT(" ",$BW$3-_xlpm.long), 0/0))</calculatedColumnFormula>
    </tableColumn>
    <tableColumn id="19" xr3:uid="{7930ACA2-B7A8-4F7A-A680-85AFF46D268A}" name="F201_ID_TIPO_CLI" dataDxfId="48">
      <calculatedColumnFormula>_xlfn.LET(_xlpm.valor,Table1[[#This Row],[Tipo de cliente]], _xlpm.limpieza, TRIM(_xlpm.valor), _xlpm.long, LEN(_xlpm.limpieza), _xlpm.validacion, _xlpm.long&lt;=$BX$3, IF(_xlpm.validacion, _xlpm.limpieza&amp;REPT(" ",$BX$3-_xlpm.long), 0/0))</calculatedColumnFormula>
    </tableColumn>
    <tableColumn id="20" xr3:uid="{27582734-1B58-440C-AFE8-8954F961A41C}" name="F201_ID_GRUPO_DSCTO" dataDxfId="47">
      <calculatedColumnFormula>_xlfn.LET(_xlpm.valor,Table1[[#This Row],[Grupo de descuento]], _xlpm.limpieza, TRIM(_xlpm.valor), _xlpm.long, LEN(_xlpm.limpieza), _xlpm.validacion, _xlpm.long&lt;=$BY$3, IF(_xlpm.validacion, _xlpm.limpieza&amp;REPT(" ",$BY$3-_xlpm.long), 0/0))</calculatedColumnFormula>
    </tableColumn>
    <tableColumn id="21" xr3:uid="{24D0CC7D-454C-45A3-A731-1666DA9A680E}" name="F201_ID_LISTA_PRECIO" dataDxfId="46">
      <calculatedColumnFormula>_xlfn.LET(_xlpm.valor,Table1[[#This Row],[Lista de precios]], _xlpm.limpieza, TRIM(_xlpm.valor), _xlpm.long, LEN(_xlpm.limpieza), _xlpm.validacion, _xlpm.long&lt;=$BZ$3, IF(_xlpm.validacion, _xlpm.limpieza&amp;REPT(" ",$BZ$3-_xlpm.long), 0/0))</calculatedColumnFormula>
    </tableColumn>
    <tableColumn id="22" xr3:uid="{415ACC6D-EFB1-4184-8A21-077516C8EFB1}" name="F201_IND_PEDIDO_BACKORDER" dataDxfId="45">
      <calculatedColumnFormula>IF(ISNUMBER(MATCH(_xlfn.NUMBERVALUE(Table1[[#This Row],[Indicador de backorder]]),_xlfn.SEQUENCE(7,,0),0)),_xlfn.NUMBERVALUE(Table1[[#This Row],[Indicador de backorder]]))</calculatedColumnFormula>
    </tableColumn>
    <tableColumn id="23" xr3:uid="{134124D6-86D8-494F-9283-740D8DF6B882}" name="F201_PORC_EXCESO_VENTA" dataDxfId="44">
      <calculatedColumnFormula>_xlfn.LET(_xlpm.valor, Table1[[#This Row],[Porcentaje para poder vender por encima de lo pedido]], _xlpm.numero, _xlfn.NUMBERVALUE(_xlpm.valor), _xlpm.maximo, AND(_xlpm.numero&gt;=0, _xlpm.numero&lt;=9999),  _xlpm.formato, IF(_xlpm.maximo, REPLACE(TEXT(_xlpm.numero,"0000.00"),5,1,"."), 0/0), _xlpm.formato)</calculatedColumnFormula>
    </tableColumn>
    <tableColumn id="24" xr3:uid="{3DA39381-75A0-4D50-899F-56757C08BB07}" name="F201_PORC_MIN_MARGEN" dataDxfId="43">
      <calculatedColumnFormula>_xlfn.LET(_xlpm.valor, Table1[[#This Row],[Porcentaje de margen mínimo]], _xlpm.numero, _xlfn.NUMBERVALUE(_xlpm.valor), _xlpm.maximo, AND(_xlpm.numero&gt;=0, _xlpm.numero&lt;=9999),  _xlpm.formato, IF(_xlpm.maximo, REPLACE(TEXT(_xlpm.numero,"0000.00"),5,1,"."), 0/0), _xlpm.formato)</calculatedColumnFormula>
    </tableColumn>
    <tableColumn id="25" xr3:uid="{9F4A184B-33FD-4313-B393-269AFE879C05}" name="F201_PORC_MAX_MARGEN" dataDxfId="42">
      <calculatedColumnFormula>_xlfn.LET(_xlpm.valor, Table1[[#This Row],[Porcentaje de margen máximo]], _xlpm.numero, _xlfn.NUMBERVALUE(_xlpm.valor), _xlpm.maximo, AND(_xlpm.numero&gt;=0, _xlpm.numero&lt;=9999),  _xlpm.formato, IF(_xlpm.maximo, REPLACE(TEXT(_xlpm.numero,"0000.00"),5,1,"."), 0/0), _xlpm.formato)</calculatedColumnFormula>
    </tableColumn>
    <tableColumn id="26" xr3:uid="{C01D9031-C658-4E79-B97D-2752E31E53D5}" name="F201_IND_BLOQUEADO" dataDxfId="41">
      <calculatedColumnFormula>IF(ISNUMBER(MATCH(_xlfn.NUMBERVALUE(Table1[[#This Row],[Indicador de bloqueado]]),_xlfn.SEQUENCE(2,,0),0)),_xlfn.NUMBERVALUE(Table1[[#This Row],[Indicador de bloqueado]]))</calculatedColumnFormula>
    </tableColumn>
    <tableColumn id="27" xr3:uid="{A49EFF92-3BB1-47A4-8B9A-897213170EB9}" name="F201_IND_BLOQUEO_CUPO" dataDxfId="40">
      <calculatedColumnFormula>IF(ISNUMBER(MATCH(_xlfn.NUMBERVALUE(Table1[[#This Row],[Indicador de bloquea por cupo]]),_xlfn.SEQUENCE(2,,0),0)),_xlfn.NUMBERVALUE(Table1[[#This Row],[Indicador de bloquea por cupo]]))</calculatedColumnFormula>
    </tableColumn>
    <tableColumn id="28" xr3:uid="{66E2383F-89F9-4FB9-AA5A-C4D4955F4DBA}" name="F201_IND_BLOQUEO_MORA" dataDxfId="39">
      <calculatedColumnFormula>IF(ISNUMBER(MATCH(_xlfn.NUMBERVALUE(Table1[[#This Row],[Indicador de bloquea por mora]]),_xlfn.SEQUENCE(2,,0),0)),_xlfn.NUMBERVALUE(Table1[[#This Row],[Indicador de bloquea por mora]]))</calculatedColumnFormula>
    </tableColumn>
    <tableColumn id="29" xr3:uid="{35CF3F0E-A486-4BCC-9D55-6B9B94DB42F4}" name="F201_IND_FACTURA_UNIFICADA" dataDxfId="38">
      <calculatedColumnFormula>IF(ISNUMBER(MATCH(_xlfn.NUMBERVALUE(Table1[[#This Row],[Indicador de factura unificada]]),_xlfn.SEQUENCE(2,,0),0)),_xlfn.NUMBERVALUE(Table1[[#This Row],[Indicador de factura unificada]]))</calculatedColumnFormula>
    </tableColumn>
    <tableColumn id="30" xr3:uid="{DE17035C-9CEA-4455-9D33-8D774B696622}" name="F201_ID_CO_FACTURA" dataDxfId="37">
      <calculatedColumnFormula>_xlfn.LET(_xlpm.valor,Table1[[#This Row],[Centro de operación por defecto para facturación]], _xlpm.limpieza, TRIM(_xlpm.valor), _xlpm.long, LEN(_xlpm.limpieza), _xlpm.validacion, _xlpm.long&lt;=$CI$3, IF(_xlpm.validacion, _xlpm.limpieza&amp;REPT(" ",$CI$3-_xlpm.long), 0/0))</calculatedColumnFormula>
    </tableColumn>
    <tableColumn id="31" xr3:uid="{47C8B2A4-20B0-4AA2-8EFD-CC59E2D6A8BC}" name="F201_NOTAS" dataDxfId="36">
      <calculatedColumnFormula>_xlfn.LET(_xlpm.valor,Table1[[#This Row],[Observaciones]], _xlpm.limpieza, TRIM(_xlpm.valor), _xlpm.long, LEN(_xlpm.limpieza), _xlpm.validacion, _xlpm.long&lt;=$CJ$3, IF(_xlpm.validacion, _xlpm.limpieza&amp;REPT(" ",$CJ$3-_xlpm.long), 0/0))</calculatedColumnFormula>
    </tableColumn>
    <tableColumn id="32" xr3:uid="{D1CE6F00-D70C-4402-BE4C-0893B307F62C}" name="F015_CONTACTO" dataDxfId="35">
      <calculatedColumnFormula>_xlfn.LET(_xlpm.valor,Table1[[#This Row],[Contacto]], _xlpm.limpieza, TRIM(_xlpm.valor), _xlpm.long, LEN(_xlpm.limpieza), _xlpm.validacion, _xlpm.long&lt;=$CK$3, IF(_xlpm.validacion, _xlpm.limpieza&amp;REPT(" ",$CK$3-_xlpm.long), 0/0))</calculatedColumnFormula>
    </tableColumn>
    <tableColumn id="33" xr3:uid="{78D464FA-D55D-4DAF-881C-B849993B35ED}" name="F015_DIRECCION1" dataDxfId="34">
      <calculatedColumnFormula>_xlfn.LET(_xlpm.valor,Table1[[#This Row],[Dirección 1]], _xlpm.limpieza, TRIM(_xlpm.valor), _xlpm.long, LEN(_xlpm.limpieza), _xlpm.validacion, _xlpm.long&lt;=$CL$3, IF(_xlpm.validacion, _xlpm.limpieza&amp;REPT(" ",$CL$3-_xlpm.long), 0/0))</calculatedColumnFormula>
    </tableColumn>
    <tableColumn id="34" xr3:uid="{698A953B-1FDF-46A9-BD83-7C06FDCFD620}" name="F015_DIRECCION2" dataDxfId="33">
      <calculatedColumnFormula>_xlfn.LET(_xlpm.valor,Table1[[#This Row],[Dirección 2]], _xlpm.limpieza, TRIM(_xlpm.valor), _xlpm.long, LEN(_xlpm.limpieza), _xlpm.validacion, _xlpm.long&lt;=$CM$3, IF(_xlpm.validacion, _xlpm.limpieza&amp;REPT(" ",$CM$3-_xlpm.long), 0/0))</calculatedColumnFormula>
    </tableColumn>
    <tableColumn id="35" xr3:uid="{83CF022B-81F4-476B-8D7B-2BC41E296950}" name="F015_DIRECCION3" dataDxfId="32">
      <calculatedColumnFormula>_xlfn.LET(_xlpm.valor,Table1[[#This Row],[Dirección 3]], _xlpm.limpieza, TRIM(_xlpm.valor), _xlpm.long, LEN(_xlpm.limpieza), _xlpm.validacion, _xlpm.long&lt;=$CN$3, IF(_xlpm.validacion, _xlpm.limpieza&amp;REPT(" ",$CN$3-_xlpm.long), 0/0))</calculatedColumnFormula>
    </tableColumn>
    <tableColumn id="36" xr3:uid="{7B7D6A17-D97A-4312-BEED-C3BACE47BC04}" name="F015_ID_PAIS" dataDxfId="31">
      <calculatedColumnFormula>_xlfn.LET(_xlpm.valor,Table1[[#This Row],[País]], _xlpm.limpieza, TRIM(_xlpm.valor), _xlpm.long, LEN(_xlpm.limpieza), _xlpm.validacion, _xlpm.long&lt;=$CO$3, IF(_xlpm.validacion, _xlpm.limpieza&amp;REPT(" ",$CO$3-_xlpm.long), 0/0))</calculatedColumnFormula>
    </tableColumn>
    <tableColumn id="37" xr3:uid="{D72A03FA-F6E2-41AA-A6F7-93D6DE7652E3}" name="F015_ID_DEPTO" dataDxfId="30">
      <calculatedColumnFormula>_xlfn.LET(_xlpm.valor,Table1[[#This Row],[Departamento]], _xlpm.limpieza, TRIM(_xlpm.valor), _xlpm.long, LEN(_xlpm.limpieza), _xlpm.validacion, _xlpm.long&lt;=$CP$3, IF(_xlpm.validacion, _xlpm.limpieza&amp;REPT(" ",$CP$3-_xlpm.long), 0/0))</calculatedColumnFormula>
    </tableColumn>
    <tableColumn id="38" xr3:uid="{295F877A-D2D9-47F4-83F1-B55AFD37B621}" name="F015_ID_CIUDAD" dataDxfId="29">
      <calculatedColumnFormula>_xlfn.LET(_xlpm.valor,Table1[[#This Row],[Ciudad]], _xlpm.limpieza, TRIM(_xlpm.valor), _xlpm.long, LEN(_xlpm.limpieza), _xlpm.validacion, _xlpm.long&lt;=$CQ$3, IF(_xlpm.validacion, _xlpm.limpieza&amp;REPT(" ",$CQ$3-_xlpm.long), 0/0))</calculatedColumnFormula>
    </tableColumn>
    <tableColumn id="39" xr3:uid="{7F2A02B9-BF09-469D-9DFA-AFAD1BE5677A}" name="F015_ID_BARRIO" dataDxfId="28">
      <calculatedColumnFormula>_xlfn.LET(_xlpm.valor,Table1[[#This Row],[Barrio]], _xlpm.limpieza, TRIM(_xlpm.valor), _xlpm.long, LEN(_xlpm.limpieza), _xlpm.validacion, _xlpm.long&lt;=$CR$3, IF(_xlpm.validacion, _xlpm.limpieza&amp;REPT(" ",$CR$3-_xlpm.long), 0/0))</calculatedColumnFormula>
    </tableColumn>
    <tableColumn id="40" xr3:uid="{9DAF0C66-4C75-425A-99CE-0B541DC93259}" name="F015_TELEFONO" dataDxfId="27">
      <calculatedColumnFormula>_xlfn.LET(_xlpm.valor,Table1[[#This Row],[Teléfono]], _xlpm.limpieza, TRIM(_xlpm.valor), _xlpm.long, LEN(_xlpm.limpieza), _xlpm.validacion, _xlpm.long&lt;=$CS$3, IF(_xlpm.validacion, _xlpm.limpieza&amp;REPT(" ",$CS$3-_xlpm.long), 0/0))</calculatedColumnFormula>
    </tableColumn>
    <tableColumn id="41" xr3:uid="{2BA28096-E7FC-46C2-BB64-FE69300C1B09}" name="F015_FAX" dataDxfId="26">
      <calculatedColumnFormula>_xlfn.LET(_xlpm.valor,Table1[[#This Row],[Fax]], _xlpm.limpieza, TRIM(_xlpm.valor), _xlpm.long, LEN(_xlpm.limpieza), _xlpm.validacion, _xlpm.long&lt;=$CT$3, IF(_xlpm.validacion, _xlpm.limpieza&amp;REPT(" ",$CT$3-_xlpm.long), 0/0))</calculatedColumnFormula>
    </tableColumn>
    <tableColumn id="42" xr3:uid="{7FE34C09-E828-4C41-BBB6-54743286FCA4}" name="F015_COD_POSTAL" dataDxfId="25">
      <calculatedColumnFormula>_xlfn.LET(_xlpm.valor,Table1[[#This Row],[Código postal]], _xlpm.limpieza, TRIM(_xlpm.valor), _xlpm.long, LEN(_xlpm.limpieza), _xlpm.validacion, _xlpm.long&lt;=$CU$3, IF(_xlpm.validacion, _xlpm.limpieza&amp;REPT(" ",$CU$3-_xlpm.long), 0/0))</calculatedColumnFormula>
    </tableColumn>
    <tableColumn id="43" xr3:uid="{624E1340-2A4C-45FD-903E-9C4F21B2CEF7}" name="F015_EMAIL" dataDxfId="24">
      <calculatedColumnFormula>_xlfn.LET(_xlpm.valor,Table1[[#This Row],[Dirección de correo electrónico]], _xlpm.limpieza, TRIM(_xlpm.valor), _xlpm.long, LEN(_xlpm.limpieza), _xlpm.validacion, _xlpm.long&lt;=$CV$3, IF(_xlpm.validacion, _xlpm.limpieza&amp;REPT(" ",$CV$3-_xlpm.long), 0/0))</calculatedColumnFormula>
    </tableColumn>
    <tableColumn id="44" xr3:uid="{1C9DEA4C-D33F-4ABC-8208-38C3390A9CB0}" name="F201_FECHA_INGRESO" dataDxfId="23">
      <calculatedColumnFormula>_xlfn.LET(_xlpm.fecha, Table1[[#This Row],[Fecha de ingreso]], _xlpm.año, YEAR(_xlpm.fecha), _xlpm.mes, MONTH(_xlpm.fecha), _xlpm.dia, DAY(_xlpm.fecha), _xlpm.validacion, AND(_xlpm.fecha&lt;&gt;"", ISNUMBER(_xlpm.fecha)), _xlpm.formatofecha, IF(_xlpm.validacion, TEXT(DATE(_xlpm.año,_xlpm.mes,_xlpm.dia), "YYYYMMDD"), 0/0), _xlpm.formatofecha)</calculatedColumnFormula>
    </tableColumn>
    <tableColumn id="45" xr3:uid="{C1F55BAE-8CCA-46C0-B656-B607016A0A38}" name="F201_ID_CO_MOVTO_FACTURA" dataDxfId="22">
      <calculatedColumnFormula>_xlfn.LET(_xlpm.valor,Table1[[#This Row],[Centro de operación por defecto para el movimiento de ventas.]], _xlpm.limpieza, TRIM(_xlpm.valor), _xlpm.long, LEN(_xlpm.limpieza), _xlpm.validacion, _xlpm.long&lt;=$CX$3, IF(_xlpm.validacion, _xlpm.limpieza&amp;REPT(" ",$CX$3-_xlpm.long), 0/0))</calculatedColumnFormula>
    </tableColumn>
    <tableColumn id="46" xr3:uid="{42740B09-AE4B-450B-870B-D9DE00FEE8FE}" name="F201_ID_UN_MOVTO_FACTURA" dataDxfId="21">
      <calculatedColumnFormula>_xlfn.LET(_xlpm.valor,Table1[[#This Row],[Unidad de negocios por defecto para el movimiento de ventas.]], _xlpm.limpieza, TRIM(_xlpm.valor), _xlpm.long, LEN(_xlpm.limpieza), _xlpm.validacion, _xlpm.long&lt;=$CY$3, IF(_xlpm.validacion, _xlpm.limpieza&amp;REPT(" ",$CY$3-_xlpm.long), 0/0))</calculatedColumnFormula>
    </tableColumn>
    <tableColumn id="47" xr3:uid="{DA08F2D3-483C-4F53-9687-7EA99DAC9756}" name="F201_ID_PARAMETRO_EDI" dataDxfId="20">
      <calculatedColumnFormula>_xlfn.LET(_xlpm.valor,Table1[[#This Row],[Parametro EDI]], _xlpm.limpieza, TRIM(_xlpm.valor), _xlpm.long, LEN(_xlpm.limpieza), _xlpm.validacion, _xlpm.long&lt;=$CZ$3, IF(_xlpm.validacion, _xlpm.limpieza&amp;REPT(" ",$CZ$3-_xlpm.long), 0/0))</calculatedColumnFormula>
    </tableColumn>
    <tableColumn id="48" xr3:uid="{58580190-BDD1-4450-9679-BA2A743F16D9}" name="F201_CODIGO_EAN" dataDxfId="19">
      <calculatedColumnFormula>_xlfn.LET(_xlpm.valor,Table1[[#This Row],[Código EAN]], _xlpm.limpieza, TRIM(_xlpm.valor), _xlpm.long, LEN(_xlpm.limpieza), _xlpm.validacion, _xlpm.long&lt;=$DA$3, IF(_xlpm.validacion, _xlpm.limpieza&amp;REPT(" ",$DA$3-_xlpm.long), 0/0))</calculatedColumnFormula>
    </tableColumn>
    <tableColumn id="49" xr3:uid="{E76F394C-AC48-461A-BB63-AFCCBFE40E5F}" name="f201_fecha_cupo" dataDxfId="18">
      <calculatedColumnFormula>_xlfn.LET(_xlpm.fecha, Table1[[#This Row],[Fecha vigencia cupo]], _xlpm.año, YEAR(_xlpm.fecha), _xlpm.mes, MONTH(_xlpm.fecha), _xlpm.dia, DAY(_xlpm.fecha), _xlpm.validacion, AND(_xlpm.fecha&lt;&gt;"", ISNUMBER(_xlpm.fecha)), _xlpm.formatofecha, IF(_xlpm.validacion, TEXT(DATE(_xlpm.año,_xlpm.mes,_xlpm.dia), "YYYYMMDD"), 0/0), _xlpm.formatofecha)</calculatedColumnFormula>
    </tableColumn>
    <tableColumn id="50" xr3:uid="{AB2C8184-2179-4142-B3E0-3AF3ACEDFC67}" name="f201_porc_tolerancia" dataDxfId="17">
      <calculatedColumnFormula>_xlfn.LET(_xlpm.valor, Table1[[#This Row],[Porcentaje de tolerancia]], _xlpm.numero, _xlfn.NUMBERVALUE(_xlpm.valor), _xlpm.maximo, AND(_xlpm.numero&gt;=0, _xlpm.numero&lt;=100),  _xlpm.formato, IF(_xlpm.maximo, REPLACE(TEXT(_xlpm.numero,"0000.00"),5,1,"."), 0/0), _xlpm.formato)</calculatedColumnFormula>
    </tableColumn>
    <tableColumn id="51" xr3:uid="{65A0D98F-4ACA-478E-9B75-492FFE9784B8}" name="f201_dia_maximo_factura" dataDxfId="16">
      <calculatedColumnFormula>_xlfn.LET(_xlpm.valor, Table1[[#This Row],[Día máximo para realizar la facturación.]], _xlpm.numero, _xlfn.NUMBERVALUE(_xlpm.valor), _xlpm.maximo, AND(_xlpm.numero&gt;=0, _xlpm.numero&lt;=31),  _xlpm.formato, IF(_xlpm.maximo, TEXT(_xlpm.numero,"00"), 0/0), _xlpm.formato)</calculatedColumnFormula>
    </tableColumn>
    <tableColumn id="52" xr3:uid="{C2C51FBF-04AF-4B24-96EF-ADA90B46BC60}" name="f201_id_motivo_bloqueo" dataDxfId="15">
      <calculatedColumnFormula>_xlfn.LET(_xlpm.valor,Table1[[#This Row],[Motivo de bloqueo]], _xlpm.limpieza, TRIM(_xlpm.valor), _xlpm.long, LEN(_xlpm.limpieza), _xlpm.validacion, _xlpm.long&lt;=$DE$3, IF(_xlpm.validacion, _xlpm.limpieza&amp;REPT(" ",$DE$3-_xlpm.long), 0/0))</calculatedColumnFormula>
    </tableColumn>
    <tableColumn id="53" xr3:uid="{85311310-5385-479E-82DD-43CC5AF252AF}" name="f201_id_cobrador" dataDxfId="14">
      <calculatedColumnFormula>_xlfn.LET(_xlpm.valor,Table1[[#This Row],[Código de cobrador]], _xlpm.limpieza, TRIM(_xlpm.valor), _xlpm.long, LEN(_xlpm.limpieza), _xlpm.validacion, _xlpm.long&lt;=$DF$3, IF(_xlpm.validacion, _xlpm.limpieza&amp;REPT(" ",$DF$3-_xlpm.long), 0/0))</calculatedColumnFormula>
    </tableColumn>
    <tableColumn id="54" xr3:uid="{2617710B-BC94-4FA9-8528-2B030965C802}" name="f201_ind_compromiso_um_emp" dataDxfId="13">
      <calculatedColumnFormula>IF(ISNUMBER(MATCH(_xlfn.NUMBERVALUE(Table1[[#This Row],[Indicador para compromiso con unidad de empaque principal]]),_xlfn.SEQUENCE(2,,0),0)),_xlfn.NUMBERVALUE(Table1[[#This Row],[Indicador para compromiso con unidad de empaque principal]]))</calculatedColumnFormula>
    </tableColumn>
    <tableColumn id="55" xr3:uid="{0C3B24C1-FF10-49F9-B69D-941DADC4A468}" name="f201_ind_anticipo_terc_corp" dataDxfId="12">
      <calculatedColumnFormula>IF(ISNUMBER(MATCH(_xlfn.NUMBERVALUE(Table1[[#This Row],[Indicador evalua anticipo tercero corporativo.]]),_xlfn.SEQUENCE(2,,0),0)),_xlfn.NUMBERVALUE(Table1[[#This Row],[Indicador evalua anticipo tercero corporativo.]]))</calculatedColumnFormula>
    </tableColumn>
    <tableColumn id="56" xr3:uid="{79B6CB50-6A57-41A9-81B9-BBEF81A6FB80}" name="f015_celular" dataDxfId="11">
      <calculatedColumnFormula>_xlfn.LET(_xlpm.valor,Table1[[#This Row],[Telefono Celular]], _xlpm.limpieza, TRIM(_xlpm.valor), _xlpm.long, LEN(_xlpm.limpieza), _xlpm.validacion, _xlpm.long&lt;=$DI$3, IF(_xlpm.validacion, _xlpm.limpieza&amp;REPT(" ",$DI$3-_xlpm.long), 0/0))</calculatedColumnFormula>
    </tableColumn>
    <tableColumn id="57" xr3:uid="{C36F747A-3A57-4044-A43D-C7228A748CC2}" name="f201_valida_cupo_despacho" dataDxfId="10">
      <calculatedColumnFormula>IF(ISNUMBER(MATCH(_xlfn.NUMBERVALUE(Table1[[#This Row],[Validar cupo despacho]]),_xlfn.SEQUENCE(2,,0),0)),_xlfn.NUMBERVALUE(Table1[[#This Row],[Validar cupo despacho]]))</calculatedColumnFormula>
    </tableColumn>
    <tableColumn id="58" xr3:uid="{26F7ADC0-DBF0-4404-9899-4B27FF6A6A1E}" name="f201_id_portafolio_edi" dataDxfId="9">
      <calculatedColumnFormula>_xlfn.LET(_xlpm.valor,Table1[[#This Row],[Porfalio edi ]], _xlpm.limpieza, TRIM(_xlpm.valor), _xlpm.long, LEN(_xlpm.limpieza), _xlpm.validacion, _xlpm.long&lt;=$DK$3, IF(_xlpm.validacion, _xlpm.limpieza&amp;REPT(" ",$DK$3-_xlpm.long), 0/0))</calculatedColumnFormula>
    </tableColumn>
    <tableColumn id="59" xr3:uid="{B8740695-0ACA-4D9B-AF3E-5DDBEEC92424}" name="f201_frecuencia_entrega" dataDxfId="8">
      <calculatedColumnFormula array="1">_xlfn.LET(_xlpm.frecuencia,Table1[[#This Row],[Frecuencia entrega]], _xlpm.conjunto, _xlfn.NUMBERVALUE( MID(_xlpm.frecuencia, _xlfn.SEQUENCE(LEN(_xlpm.frecuencia)),1)), _xlpm.filtro, (_xlpm.conjunto=1)*1 + (_xlpm.conjunto=0)*1, _xlpm.validacion, IF(SUM(_xlpm.filtro) = 7,_xlpm.frecuencia,0/0), _xlpm.validacion)</calculatedColumnFormula>
    </tableColumn>
    <tableColumn id="60" xr3:uid="{354316CB-5F37-4CC6-BE8A-897058697B78}" name="f201_id_cia_cliente_corp" dataDxfId="7">
      <calculatedColumnFormula>_xlfn.LET(_xlpm.valor,Table1[[#This Row],[Compañía cliente corporativo]], _xlpm.limpieza, TRIM(_xlpm.valor), _xlpm.long, LEN(_xlpm.limpieza), _xlpm.validacion, AND(_xlpm.long&lt;=$DM$3, NOT(ISBLANK(Table1[[#This Row],[Código del cliente corporativo]]))), IF(_xlpm.validacion, _xlpm.limpieza&amp;REPT(" ",$DM$3-_xlpm.long), 0/0))</calculatedColumnFormula>
    </tableColumn>
    <tableColumn id="61" xr3:uid="{1E3FAB5E-A804-4C13-935B-60D17375A2E9}" name="f201_ind_valida_cartera_des" dataDxfId="6">
      <calculatedColumnFormula>IF(ISNUMBER(MATCH(_xlfn.NUMBERVALUE(Table1[[#This Row],[Validar la cartera del cliente]]),_xlfn.SEQUENCE(3,,0),0)),_xlfn.NUMBERVALUE(Table1[[#This Row],[Validar la cartera del cliente]]))</calculatedColumnFormula>
    </tableColumn>
    <tableColumn id="62" xr3:uid="{6A351697-E808-4B79-91FE-03A4F1916FED}" name="f201_ind_exceso_venta_adic" dataDxfId="5">
      <calculatedColumnFormula>IF(ISNUMBER(MATCH(_xlfn.NUMBERVALUE(Table1[[#This Row],[Valida el exceso en UM adicional]]),_xlfn.SEQUENCE(2,,0),0)),_xlfn.NUMBERVALUE(Table1[[#This Row],[Valida el exceso en UM adicional]]))</calculatedColumnFormula>
    </tableColumn>
    <tableColumn id="125" xr3:uid="{D99FE2C1-01A3-4DEA-866C-AC3A206D8F6C}" name="CLAVE" dataDxfId="4">
      <calculatedColumnFormula>_xlfn.TEXTJOIN("",FALSE,Table1[[#This Row],[F_NUMERO_REG]:[f201_ind_exceso_venta_adic]])</calculatedColumnFormula>
    </tableColumn>
    <tableColumn id="126" xr3:uid="{C30B1F24-34B8-432C-8EB5-1D001814E622}" name="LONGITUD" dataDxfId="2">
      <calculatedColumnFormula>LEN(Table1[[#This Row],[CLAVE]])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9036E5-4890-4337-B707-5E5D38A01806}" name="Table1_1" displayName="Table1_1" ref="A4:A9" tableType="queryTable" totalsRowShown="0" dataDxfId="1">
  <autoFilter ref="A4:A9" xr:uid="{D19036E5-4890-4337-B707-5E5D38A01806}"/>
  <tableColumns count="1">
    <tableColumn id="2" xr3:uid="{2053D1CE-7D9C-427A-995B-D2E4F4398B7B}" uniqueName="2" name="CONVERSION PLANO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omarto.97@gmail.com" TargetMode="External"/><Relationship Id="rId2" Type="http://schemas.openxmlformats.org/officeDocument/2006/relationships/hyperlink" Target="mailto:omarto.97@gmail.com" TargetMode="External"/><Relationship Id="rId1" Type="http://schemas.openxmlformats.org/officeDocument/2006/relationships/hyperlink" Target="mailto:omarto.97@gmail.com" TargetMode="Externa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0131-A159-4FFE-BC77-3D5C2696819B}">
  <dimension ref="A1:H65"/>
  <sheetViews>
    <sheetView topLeftCell="A3" workbookViewId="0">
      <selection activeCell="G4" sqref="G4"/>
    </sheetView>
  </sheetViews>
  <sheetFormatPr defaultRowHeight="14.5" x14ac:dyDescent="0.35"/>
  <cols>
    <col min="1" max="1" width="25.6328125" bestFit="1" customWidth="1"/>
    <col min="2" max="2" width="24.7265625" customWidth="1"/>
    <col min="3" max="3" width="12.26953125" bestFit="1" customWidth="1"/>
    <col min="4" max="4" width="24.26953125" customWidth="1"/>
    <col min="5" max="5" width="4.36328125" bestFit="1" customWidth="1"/>
    <col min="6" max="6" width="6.6328125" bestFit="1" customWidth="1"/>
    <col min="7" max="7" width="8.26953125" bestFit="1" customWidth="1"/>
    <col min="8" max="8" width="6.26953125" bestFit="1" customWidth="1"/>
  </cols>
  <sheetData>
    <row r="1" spans="1:8" x14ac:dyDescent="0.35">
      <c r="A1" s="3" t="s">
        <v>62</v>
      </c>
      <c r="B1" s="3" t="s">
        <v>63</v>
      </c>
      <c r="C1" s="4"/>
      <c r="D1" s="1"/>
    </row>
    <row r="2" spans="1:8" x14ac:dyDescent="0.35">
      <c r="A2" s="3" t="s">
        <v>64</v>
      </c>
      <c r="B2" s="5">
        <f>'Archivo Independiente'!$B$2</f>
        <v>1</v>
      </c>
      <c r="C2" s="4"/>
      <c r="D2" s="1"/>
    </row>
    <row r="3" spans="1:8" x14ac:dyDescent="0.35">
      <c r="A3" s="3" t="s">
        <v>182</v>
      </c>
      <c r="B3" s="3" t="s">
        <v>183</v>
      </c>
      <c r="C3" s="3" t="s">
        <v>184</v>
      </c>
      <c r="D3" s="3" t="s">
        <v>185</v>
      </c>
      <c r="E3" s="3" t="s">
        <v>186</v>
      </c>
      <c r="F3" s="3" t="s">
        <v>187</v>
      </c>
      <c r="G3" s="3" t="s">
        <v>188</v>
      </c>
      <c r="H3" s="3" t="s">
        <v>189</v>
      </c>
    </row>
    <row r="4" spans="1:8" ht="20" x14ac:dyDescent="0.35">
      <c r="A4" s="9" t="s">
        <v>67</v>
      </c>
      <c r="B4" s="19" t="s">
        <v>0</v>
      </c>
      <c r="C4" s="18" t="s">
        <v>65</v>
      </c>
      <c r="D4" s="19" t="s">
        <v>133</v>
      </c>
      <c r="E4" s="18" t="s">
        <v>130</v>
      </c>
      <c r="F4" s="20">
        <v>1</v>
      </c>
      <c r="G4" s="20">
        <v>7</v>
      </c>
      <c r="H4" s="20">
        <f t="shared" ref="H4:H63" si="0">F4+G4-1</f>
        <v>7</v>
      </c>
    </row>
    <row r="5" spans="1:8" ht="20" x14ac:dyDescent="0.35">
      <c r="A5" s="9" t="s">
        <v>68</v>
      </c>
      <c r="B5" s="19" t="s">
        <v>1</v>
      </c>
      <c r="C5" s="18" t="s">
        <v>65</v>
      </c>
      <c r="D5" s="19" t="s">
        <v>134</v>
      </c>
      <c r="E5" s="18" t="s">
        <v>130</v>
      </c>
      <c r="F5" s="20">
        <f t="shared" ref="F5:F57" si="1">F4+G4</f>
        <v>8</v>
      </c>
      <c r="G5" s="20">
        <v>4</v>
      </c>
      <c r="H5" s="20">
        <f t="shared" si="0"/>
        <v>11</v>
      </c>
    </row>
    <row r="6" spans="1:8" ht="20" x14ac:dyDescent="0.35">
      <c r="A6" s="9" t="s">
        <v>69</v>
      </c>
      <c r="B6" s="19" t="s">
        <v>2</v>
      </c>
      <c r="C6" s="18" t="s">
        <v>65</v>
      </c>
      <c r="D6" s="19" t="s">
        <v>135</v>
      </c>
      <c r="E6" s="18" t="s">
        <v>130</v>
      </c>
      <c r="F6" s="20">
        <f t="shared" si="1"/>
        <v>12</v>
      </c>
      <c r="G6" s="20">
        <v>2</v>
      </c>
      <c r="H6" s="20">
        <f t="shared" si="0"/>
        <v>13</v>
      </c>
    </row>
    <row r="7" spans="1:8" ht="30" x14ac:dyDescent="0.35">
      <c r="A7" s="9" t="s">
        <v>70</v>
      </c>
      <c r="B7" s="19" t="s">
        <v>3</v>
      </c>
      <c r="C7" s="18" t="s">
        <v>65</v>
      </c>
      <c r="D7" s="19" t="s">
        <v>136</v>
      </c>
      <c r="E7" s="18" t="s">
        <v>130</v>
      </c>
      <c r="F7" s="20">
        <f t="shared" si="1"/>
        <v>14</v>
      </c>
      <c r="G7" s="20">
        <v>2</v>
      </c>
      <c r="H7" s="20">
        <f t="shared" si="0"/>
        <v>15</v>
      </c>
    </row>
    <row r="8" spans="1:8" ht="80" x14ac:dyDescent="0.35">
      <c r="A8" s="9" t="s">
        <v>71</v>
      </c>
      <c r="B8" s="19" t="s">
        <v>4</v>
      </c>
      <c r="C8" s="18" t="s">
        <v>65</v>
      </c>
      <c r="D8" s="19" t="s">
        <v>137</v>
      </c>
      <c r="E8" s="18" t="s">
        <v>130</v>
      </c>
      <c r="F8" s="20">
        <f t="shared" si="1"/>
        <v>16</v>
      </c>
      <c r="G8" s="20">
        <v>3</v>
      </c>
      <c r="H8" s="20">
        <f t="shared" si="0"/>
        <v>18</v>
      </c>
    </row>
    <row r="9" spans="1:8" ht="60" x14ac:dyDescent="0.35">
      <c r="A9" s="9" t="s">
        <v>72</v>
      </c>
      <c r="B9" s="19" t="s">
        <v>5</v>
      </c>
      <c r="C9" s="18" t="s">
        <v>65</v>
      </c>
      <c r="D9" s="19" t="s">
        <v>138</v>
      </c>
      <c r="E9" s="18" t="s">
        <v>130</v>
      </c>
      <c r="F9" s="20">
        <f t="shared" si="1"/>
        <v>19</v>
      </c>
      <c r="G9" s="20">
        <v>1</v>
      </c>
      <c r="H9" s="20">
        <f t="shared" si="0"/>
        <v>19</v>
      </c>
    </row>
    <row r="10" spans="1:8" ht="20" x14ac:dyDescent="0.35">
      <c r="A10" s="9" t="s">
        <v>73</v>
      </c>
      <c r="B10" s="19" t="s">
        <v>6</v>
      </c>
      <c r="C10" s="18" t="s">
        <v>66</v>
      </c>
      <c r="D10" s="19" t="s">
        <v>6</v>
      </c>
      <c r="E10" s="18" t="s">
        <v>130</v>
      </c>
      <c r="F10" s="20">
        <f t="shared" si="1"/>
        <v>20</v>
      </c>
      <c r="G10" s="20">
        <v>15</v>
      </c>
      <c r="H10" s="20">
        <f t="shared" si="0"/>
        <v>34</v>
      </c>
    </row>
    <row r="11" spans="1:8" ht="20" x14ac:dyDescent="0.35">
      <c r="A11" s="9" t="s">
        <v>74</v>
      </c>
      <c r="B11" s="19" t="s">
        <v>7</v>
      </c>
      <c r="C11" s="18" t="s">
        <v>66</v>
      </c>
      <c r="D11" s="19" t="s">
        <v>7</v>
      </c>
      <c r="E11" s="18" t="s">
        <v>130</v>
      </c>
      <c r="F11" s="20">
        <f t="shared" si="1"/>
        <v>35</v>
      </c>
      <c r="G11" s="20">
        <v>3</v>
      </c>
      <c r="H11" s="20">
        <f t="shared" si="0"/>
        <v>37</v>
      </c>
    </row>
    <row r="12" spans="1:8" ht="20" x14ac:dyDescent="0.35">
      <c r="A12" s="9" t="s">
        <v>75</v>
      </c>
      <c r="B12" s="19" t="s">
        <v>8</v>
      </c>
      <c r="C12" s="18" t="s">
        <v>65</v>
      </c>
      <c r="D12" s="19" t="s">
        <v>139</v>
      </c>
      <c r="E12" s="18" t="s">
        <v>130</v>
      </c>
      <c r="F12" s="20">
        <f t="shared" si="1"/>
        <v>38</v>
      </c>
      <c r="G12" s="20">
        <v>1</v>
      </c>
      <c r="H12" s="20">
        <f t="shared" si="0"/>
        <v>38</v>
      </c>
    </row>
    <row r="13" spans="1:8" ht="40" x14ac:dyDescent="0.35">
      <c r="A13" s="9" t="s">
        <v>76</v>
      </c>
      <c r="B13" s="19" t="s">
        <v>9</v>
      </c>
      <c r="C13" s="18" t="s">
        <v>66</v>
      </c>
      <c r="D13" s="19" t="s">
        <v>140</v>
      </c>
      <c r="E13" s="18" t="s">
        <v>130</v>
      </c>
      <c r="F13" s="20">
        <f t="shared" si="1"/>
        <v>39</v>
      </c>
      <c r="G13" s="20">
        <v>40</v>
      </c>
      <c r="H13" s="20">
        <f t="shared" si="0"/>
        <v>78</v>
      </c>
    </row>
    <row r="14" spans="1:8" ht="60" x14ac:dyDescent="0.35">
      <c r="A14" s="9" t="s">
        <v>77</v>
      </c>
      <c r="B14" s="19" t="s">
        <v>10</v>
      </c>
      <c r="C14" s="18" t="s">
        <v>66</v>
      </c>
      <c r="D14" s="19" t="s">
        <v>141</v>
      </c>
      <c r="E14" s="18" t="s">
        <v>130</v>
      </c>
      <c r="F14" s="20">
        <f t="shared" si="1"/>
        <v>79</v>
      </c>
      <c r="G14" s="20">
        <v>3</v>
      </c>
      <c r="H14" s="20">
        <f t="shared" si="0"/>
        <v>81</v>
      </c>
    </row>
    <row r="15" spans="1:8" ht="60" x14ac:dyDescent="0.35">
      <c r="A15" s="9" t="s">
        <v>78</v>
      </c>
      <c r="B15" s="19" t="s">
        <v>11</v>
      </c>
      <c r="C15" s="18" t="s">
        <v>66</v>
      </c>
      <c r="D15" s="19" t="s">
        <v>142</v>
      </c>
      <c r="E15" s="18" t="s">
        <v>131</v>
      </c>
      <c r="F15" s="20">
        <f t="shared" si="1"/>
        <v>82</v>
      </c>
      <c r="G15" s="20">
        <v>4</v>
      </c>
      <c r="H15" s="20">
        <f t="shared" si="0"/>
        <v>85</v>
      </c>
    </row>
    <row r="16" spans="1:8" ht="60" x14ac:dyDescent="0.35">
      <c r="A16" s="9" t="s">
        <v>79</v>
      </c>
      <c r="B16" s="19" t="s">
        <v>12</v>
      </c>
      <c r="C16" s="18" t="s">
        <v>66</v>
      </c>
      <c r="D16" s="19" t="s">
        <v>143</v>
      </c>
      <c r="E16" s="18" t="s">
        <v>130</v>
      </c>
      <c r="F16" s="20">
        <f t="shared" si="1"/>
        <v>86</v>
      </c>
      <c r="G16" s="20">
        <v>1</v>
      </c>
      <c r="H16" s="20">
        <f t="shared" si="0"/>
        <v>86</v>
      </c>
    </row>
    <row r="17" spans="1:8" ht="70" x14ac:dyDescent="0.35">
      <c r="A17" s="9" t="s">
        <v>80</v>
      </c>
      <c r="B17" s="19" t="s">
        <v>13</v>
      </c>
      <c r="C17" s="18" t="s">
        <v>66</v>
      </c>
      <c r="D17" s="19" t="s">
        <v>144</v>
      </c>
      <c r="E17" s="18" t="s">
        <v>131</v>
      </c>
      <c r="F17" s="20">
        <f t="shared" si="1"/>
        <v>87</v>
      </c>
      <c r="G17" s="20">
        <v>3</v>
      </c>
      <c r="H17" s="20">
        <f t="shared" si="0"/>
        <v>89</v>
      </c>
    </row>
    <row r="18" spans="1:8" ht="40" x14ac:dyDescent="0.35">
      <c r="A18" s="9" t="s">
        <v>81</v>
      </c>
      <c r="B18" s="19" t="s">
        <v>14</v>
      </c>
      <c r="C18" s="18" t="s">
        <v>65</v>
      </c>
      <c r="D18" s="19" t="s">
        <v>145</v>
      </c>
      <c r="E18" s="18" t="s">
        <v>131</v>
      </c>
      <c r="F18" s="20">
        <f t="shared" si="1"/>
        <v>90</v>
      </c>
      <c r="G18" s="20">
        <v>3</v>
      </c>
      <c r="H18" s="20">
        <f t="shared" si="0"/>
        <v>92</v>
      </c>
    </row>
    <row r="19" spans="1:8" ht="270" x14ac:dyDescent="0.35">
      <c r="A19" s="9" t="s">
        <v>82</v>
      </c>
      <c r="B19" s="19" t="s">
        <v>15</v>
      </c>
      <c r="C19" s="18" t="s">
        <v>65</v>
      </c>
      <c r="D19" s="19" t="s">
        <v>146</v>
      </c>
      <c r="E19" s="18" t="s">
        <v>131</v>
      </c>
      <c r="F19" s="20">
        <f t="shared" si="1"/>
        <v>93</v>
      </c>
      <c r="G19" s="20">
        <v>21</v>
      </c>
      <c r="H19" s="20">
        <f t="shared" si="0"/>
        <v>113</v>
      </c>
    </row>
    <row r="20" spans="1:8" ht="160" x14ac:dyDescent="0.35">
      <c r="A20" s="9" t="s">
        <v>83</v>
      </c>
      <c r="B20" s="19" t="s">
        <v>16</v>
      </c>
      <c r="C20" s="18" t="s">
        <v>66</v>
      </c>
      <c r="D20" s="19" t="s">
        <v>147</v>
      </c>
      <c r="E20" s="18" t="s">
        <v>132</v>
      </c>
      <c r="F20" s="20">
        <f t="shared" si="1"/>
        <v>114</v>
      </c>
      <c r="G20" s="20">
        <v>15</v>
      </c>
      <c r="H20" s="20">
        <f t="shared" si="0"/>
        <v>128</v>
      </c>
    </row>
    <row r="21" spans="1:8" ht="160" x14ac:dyDescent="0.35">
      <c r="A21" s="9" t="s">
        <v>84</v>
      </c>
      <c r="B21" s="19" t="s">
        <v>17</v>
      </c>
      <c r="C21" s="18" t="s">
        <v>66</v>
      </c>
      <c r="D21" s="19" t="s">
        <v>148</v>
      </c>
      <c r="E21" s="18" t="s">
        <v>132</v>
      </c>
      <c r="F21" s="20">
        <f t="shared" si="1"/>
        <v>129</v>
      </c>
      <c r="G21" s="20">
        <v>3</v>
      </c>
      <c r="H21" s="20">
        <f t="shared" si="0"/>
        <v>131</v>
      </c>
    </row>
    <row r="22" spans="1:8" ht="60" x14ac:dyDescent="0.35">
      <c r="A22" s="9" t="s">
        <v>85</v>
      </c>
      <c r="B22" s="19" t="s">
        <v>18</v>
      </c>
      <c r="C22" s="18" t="s">
        <v>66</v>
      </c>
      <c r="D22" s="19" t="s">
        <v>149</v>
      </c>
      <c r="E22" s="18" t="s">
        <v>130</v>
      </c>
      <c r="F22" s="20">
        <f t="shared" si="1"/>
        <v>132</v>
      </c>
      <c r="G22" s="20">
        <v>4</v>
      </c>
      <c r="H22" s="20">
        <f t="shared" si="0"/>
        <v>135</v>
      </c>
    </row>
    <row r="23" spans="1:8" ht="100" x14ac:dyDescent="0.35">
      <c r="A23" s="9" t="s">
        <v>86</v>
      </c>
      <c r="B23" s="19" t="s">
        <v>19</v>
      </c>
      <c r="C23" s="18" t="s">
        <v>66</v>
      </c>
      <c r="D23" s="19" t="s">
        <v>150</v>
      </c>
      <c r="E23" s="18" t="s">
        <v>131</v>
      </c>
      <c r="F23" s="20">
        <f t="shared" si="1"/>
        <v>136</v>
      </c>
      <c r="G23" s="20">
        <v>4</v>
      </c>
      <c r="H23" s="20">
        <f t="shared" si="0"/>
        <v>139</v>
      </c>
    </row>
    <row r="24" spans="1:8" ht="100" x14ac:dyDescent="0.35">
      <c r="A24" s="9" t="s">
        <v>87</v>
      </c>
      <c r="B24" s="19" t="s">
        <v>20</v>
      </c>
      <c r="C24" s="18" t="s">
        <v>66</v>
      </c>
      <c r="D24" s="19" t="s">
        <v>151</v>
      </c>
      <c r="E24" s="18" t="s">
        <v>132</v>
      </c>
      <c r="F24" s="20">
        <f t="shared" si="1"/>
        <v>140</v>
      </c>
      <c r="G24" s="20">
        <v>3</v>
      </c>
      <c r="H24" s="20">
        <f t="shared" si="0"/>
        <v>142</v>
      </c>
    </row>
    <row r="25" spans="1:8" ht="330" x14ac:dyDescent="0.35">
      <c r="A25" s="9" t="s">
        <v>88</v>
      </c>
      <c r="B25" s="19" t="s">
        <v>21</v>
      </c>
      <c r="C25" s="18" t="s">
        <v>65</v>
      </c>
      <c r="D25" s="19" t="s">
        <v>152</v>
      </c>
      <c r="E25" s="18" t="s">
        <v>132</v>
      </c>
      <c r="F25" s="20">
        <f t="shared" si="1"/>
        <v>143</v>
      </c>
      <c r="G25" s="20">
        <v>1</v>
      </c>
      <c r="H25" s="20">
        <f t="shared" si="0"/>
        <v>143</v>
      </c>
    </row>
    <row r="26" spans="1:8" ht="190" x14ac:dyDescent="0.35">
      <c r="A26" s="9" t="s">
        <v>89</v>
      </c>
      <c r="B26" s="19" t="s">
        <v>22</v>
      </c>
      <c r="C26" s="18" t="s">
        <v>65</v>
      </c>
      <c r="D26" s="19" t="s">
        <v>153</v>
      </c>
      <c r="E26" s="18" t="s">
        <v>132</v>
      </c>
      <c r="F26" s="20">
        <f t="shared" si="1"/>
        <v>144</v>
      </c>
      <c r="G26" s="20">
        <v>7</v>
      </c>
      <c r="H26" s="20">
        <f t="shared" si="0"/>
        <v>150</v>
      </c>
    </row>
    <row r="27" spans="1:8" ht="170" x14ac:dyDescent="0.35">
      <c r="A27" s="9" t="s">
        <v>90</v>
      </c>
      <c r="B27" s="19" t="s">
        <v>23</v>
      </c>
      <c r="C27" s="18" t="s">
        <v>65</v>
      </c>
      <c r="D27" s="19" t="s">
        <v>154</v>
      </c>
      <c r="E27" s="18" t="s">
        <v>132</v>
      </c>
      <c r="F27" s="20">
        <f t="shared" si="1"/>
        <v>151</v>
      </c>
      <c r="G27" s="20">
        <v>7</v>
      </c>
      <c r="H27" s="20">
        <f t="shared" si="0"/>
        <v>157</v>
      </c>
    </row>
    <row r="28" spans="1:8" ht="190" x14ac:dyDescent="0.35">
      <c r="A28" s="9" t="s">
        <v>91</v>
      </c>
      <c r="B28" s="19" t="s">
        <v>24</v>
      </c>
      <c r="C28" s="18" t="s">
        <v>65</v>
      </c>
      <c r="D28" s="19" t="s">
        <v>155</v>
      </c>
      <c r="E28" s="18" t="s">
        <v>132</v>
      </c>
      <c r="F28" s="20">
        <f t="shared" si="1"/>
        <v>158</v>
      </c>
      <c r="G28" s="20">
        <v>7</v>
      </c>
      <c r="H28" s="20">
        <f t="shared" si="0"/>
        <v>164</v>
      </c>
    </row>
    <row r="29" spans="1:8" ht="80" x14ac:dyDescent="0.35">
      <c r="A29" s="9" t="s">
        <v>92</v>
      </c>
      <c r="B29" s="19" t="s">
        <v>25</v>
      </c>
      <c r="C29" s="18" t="s">
        <v>65</v>
      </c>
      <c r="D29" s="19" t="s">
        <v>156</v>
      </c>
      <c r="E29" s="18" t="s">
        <v>132</v>
      </c>
      <c r="F29" s="20">
        <f t="shared" si="1"/>
        <v>165</v>
      </c>
      <c r="G29" s="20">
        <v>1</v>
      </c>
      <c r="H29" s="20">
        <f t="shared" si="0"/>
        <v>165</v>
      </c>
    </row>
    <row r="30" spans="1:8" ht="60" x14ac:dyDescent="0.35">
      <c r="A30" s="9" t="s">
        <v>93</v>
      </c>
      <c r="B30" s="19" t="s">
        <v>26</v>
      </c>
      <c r="C30" s="18" t="s">
        <v>65</v>
      </c>
      <c r="D30" s="19" t="s">
        <v>157</v>
      </c>
      <c r="E30" s="18" t="s">
        <v>132</v>
      </c>
      <c r="F30" s="20">
        <f t="shared" si="1"/>
        <v>166</v>
      </c>
      <c r="G30" s="20">
        <v>1</v>
      </c>
      <c r="H30" s="20">
        <f t="shared" si="0"/>
        <v>166</v>
      </c>
    </row>
    <row r="31" spans="1:8" ht="60" x14ac:dyDescent="0.35">
      <c r="A31" s="9" t="s">
        <v>94</v>
      </c>
      <c r="B31" s="19" t="s">
        <v>27</v>
      </c>
      <c r="C31" s="18" t="s">
        <v>65</v>
      </c>
      <c r="D31" s="19" t="s">
        <v>157</v>
      </c>
      <c r="E31" s="18" t="s">
        <v>132</v>
      </c>
      <c r="F31" s="20">
        <f t="shared" si="1"/>
        <v>167</v>
      </c>
      <c r="G31" s="20">
        <v>1</v>
      </c>
      <c r="H31" s="20">
        <f t="shared" si="0"/>
        <v>167</v>
      </c>
    </row>
    <row r="32" spans="1:8" ht="60" x14ac:dyDescent="0.35">
      <c r="A32" s="9" t="s">
        <v>95</v>
      </c>
      <c r="B32" s="19" t="s">
        <v>28</v>
      </c>
      <c r="C32" s="18" t="s">
        <v>65</v>
      </c>
      <c r="D32" s="19" t="s">
        <v>157</v>
      </c>
      <c r="E32" s="18" t="s">
        <v>132</v>
      </c>
      <c r="F32" s="20">
        <f t="shared" si="1"/>
        <v>168</v>
      </c>
      <c r="G32" s="20">
        <v>1</v>
      </c>
      <c r="H32" s="20">
        <f t="shared" si="0"/>
        <v>168</v>
      </c>
    </row>
    <row r="33" spans="1:8" ht="100" x14ac:dyDescent="0.35">
      <c r="A33" s="9" t="s">
        <v>96</v>
      </c>
      <c r="B33" s="19" t="s">
        <v>29</v>
      </c>
      <c r="C33" s="18" t="s">
        <v>66</v>
      </c>
      <c r="D33" s="19" t="s">
        <v>158</v>
      </c>
      <c r="E33" s="18" t="s">
        <v>131</v>
      </c>
      <c r="F33" s="20">
        <f t="shared" si="1"/>
        <v>169</v>
      </c>
      <c r="G33" s="20">
        <v>3</v>
      </c>
      <c r="H33" s="20">
        <f t="shared" si="0"/>
        <v>171</v>
      </c>
    </row>
    <row r="34" spans="1:8" ht="20" x14ac:dyDescent="0.35">
      <c r="A34" s="9" t="s">
        <v>97</v>
      </c>
      <c r="B34" s="19" t="s">
        <v>30</v>
      </c>
      <c r="C34" s="18" t="s">
        <v>66</v>
      </c>
      <c r="D34" s="19" t="s">
        <v>30</v>
      </c>
      <c r="E34" s="18" t="s">
        <v>131</v>
      </c>
      <c r="F34" s="20">
        <f t="shared" si="1"/>
        <v>172</v>
      </c>
      <c r="G34" s="21">
        <v>255</v>
      </c>
      <c r="H34" s="20">
        <f t="shared" si="0"/>
        <v>426</v>
      </c>
    </row>
    <row r="35" spans="1:8" ht="30" x14ac:dyDescent="0.35">
      <c r="A35" s="9" t="s">
        <v>98</v>
      </c>
      <c r="B35" s="19" t="s">
        <v>31</v>
      </c>
      <c r="C35" s="18" t="s">
        <v>66</v>
      </c>
      <c r="D35" s="19" t="s">
        <v>159</v>
      </c>
      <c r="E35" s="18" t="s">
        <v>131</v>
      </c>
      <c r="F35" s="20">
        <f t="shared" si="1"/>
        <v>427</v>
      </c>
      <c r="G35" s="21">
        <v>50</v>
      </c>
      <c r="H35" s="20">
        <f t="shared" si="0"/>
        <v>476</v>
      </c>
    </row>
    <row r="36" spans="1:8" ht="40" x14ac:dyDescent="0.35">
      <c r="A36" s="9" t="s">
        <v>99</v>
      </c>
      <c r="B36" s="19" t="s">
        <v>32</v>
      </c>
      <c r="C36" s="18" t="s">
        <v>66</v>
      </c>
      <c r="D36" s="19" t="s">
        <v>160</v>
      </c>
      <c r="E36" s="18" t="s">
        <v>131</v>
      </c>
      <c r="F36" s="20">
        <f t="shared" si="1"/>
        <v>477</v>
      </c>
      <c r="G36" s="21">
        <v>40</v>
      </c>
      <c r="H36" s="20">
        <f t="shared" si="0"/>
        <v>516</v>
      </c>
    </row>
    <row r="37" spans="1:8" ht="40" x14ac:dyDescent="0.35">
      <c r="A37" s="9" t="s">
        <v>100</v>
      </c>
      <c r="B37" s="19" t="s">
        <v>33</v>
      </c>
      <c r="C37" s="18" t="s">
        <v>66</v>
      </c>
      <c r="D37" s="19" t="s">
        <v>161</v>
      </c>
      <c r="E37" s="18" t="s">
        <v>131</v>
      </c>
      <c r="F37" s="20">
        <f t="shared" si="1"/>
        <v>517</v>
      </c>
      <c r="G37" s="21">
        <v>40</v>
      </c>
      <c r="H37" s="20">
        <f t="shared" si="0"/>
        <v>556</v>
      </c>
    </row>
    <row r="38" spans="1:8" ht="40" x14ac:dyDescent="0.35">
      <c r="A38" s="9" t="s">
        <v>101</v>
      </c>
      <c r="B38" s="19" t="s">
        <v>34</v>
      </c>
      <c r="C38" s="18" t="s">
        <v>66</v>
      </c>
      <c r="D38" s="19" t="s">
        <v>162</v>
      </c>
      <c r="E38" s="18" t="s">
        <v>131</v>
      </c>
      <c r="F38" s="20">
        <f t="shared" si="1"/>
        <v>557</v>
      </c>
      <c r="G38" s="21">
        <v>40</v>
      </c>
      <c r="H38" s="20">
        <f t="shared" si="0"/>
        <v>596</v>
      </c>
    </row>
    <row r="39" spans="1:8" ht="40" x14ac:dyDescent="0.35">
      <c r="A39" s="9" t="s">
        <v>102</v>
      </c>
      <c r="B39" s="19" t="s">
        <v>35</v>
      </c>
      <c r="C39" s="18" t="s">
        <v>66</v>
      </c>
      <c r="D39" s="19" t="s">
        <v>163</v>
      </c>
      <c r="E39" s="18" t="s">
        <v>131</v>
      </c>
      <c r="F39" s="20">
        <f t="shared" si="1"/>
        <v>597</v>
      </c>
      <c r="G39" s="21">
        <v>3</v>
      </c>
      <c r="H39" s="20">
        <f t="shared" si="0"/>
        <v>599</v>
      </c>
    </row>
    <row r="40" spans="1:8" ht="70" x14ac:dyDescent="0.35">
      <c r="A40" s="9" t="s">
        <v>103</v>
      </c>
      <c r="B40" s="19" t="s">
        <v>36</v>
      </c>
      <c r="C40" s="18" t="s">
        <v>66</v>
      </c>
      <c r="D40" s="19" t="s">
        <v>164</v>
      </c>
      <c r="E40" s="18" t="s">
        <v>132</v>
      </c>
      <c r="F40" s="20">
        <f t="shared" si="1"/>
        <v>600</v>
      </c>
      <c r="G40" s="21">
        <v>2</v>
      </c>
      <c r="H40" s="20">
        <f t="shared" si="0"/>
        <v>601</v>
      </c>
    </row>
    <row r="41" spans="1:8" ht="70" x14ac:dyDescent="0.35">
      <c r="A41" s="9" t="s">
        <v>104</v>
      </c>
      <c r="B41" s="19" t="s">
        <v>37</v>
      </c>
      <c r="C41" s="18" t="s">
        <v>66</v>
      </c>
      <c r="D41" s="19" t="s">
        <v>165</v>
      </c>
      <c r="E41" s="18" t="s">
        <v>132</v>
      </c>
      <c r="F41" s="20">
        <f t="shared" si="1"/>
        <v>602</v>
      </c>
      <c r="G41" s="21">
        <v>3</v>
      </c>
      <c r="H41" s="20">
        <f t="shared" si="0"/>
        <v>604</v>
      </c>
    </row>
    <row r="42" spans="1:8" x14ac:dyDescent="0.35">
      <c r="A42" s="9" t="s">
        <v>105</v>
      </c>
      <c r="B42" s="19" t="s">
        <v>38</v>
      </c>
      <c r="C42" s="18" t="s">
        <v>66</v>
      </c>
      <c r="D42" s="19" t="s">
        <v>166</v>
      </c>
      <c r="E42" s="18" t="s">
        <v>131</v>
      </c>
      <c r="F42" s="20">
        <f t="shared" si="1"/>
        <v>605</v>
      </c>
      <c r="G42" s="21">
        <v>40</v>
      </c>
      <c r="H42" s="20">
        <f t="shared" si="0"/>
        <v>644</v>
      </c>
    </row>
    <row r="43" spans="1:8" x14ac:dyDescent="0.35">
      <c r="A43" s="9" t="s">
        <v>106</v>
      </c>
      <c r="B43" s="19" t="s">
        <v>39</v>
      </c>
      <c r="C43" s="18" t="s">
        <v>66</v>
      </c>
      <c r="D43" s="19" t="s">
        <v>39</v>
      </c>
      <c r="E43" s="18" t="s">
        <v>131</v>
      </c>
      <c r="F43" s="20">
        <f t="shared" si="1"/>
        <v>645</v>
      </c>
      <c r="G43" s="21">
        <v>20</v>
      </c>
      <c r="H43" s="20">
        <f t="shared" si="0"/>
        <v>664</v>
      </c>
    </row>
    <row r="44" spans="1:8" x14ac:dyDescent="0.35">
      <c r="A44" s="9" t="s">
        <v>107</v>
      </c>
      <c r="B44" s="19" t="s">
        <v>40</v>
      </c>
      <c r="C44" s="18" t="s">
        <v>66</v>
      </c>
      <c r="D44" s="19" t="s">
        <v>40</v>
      </c>
      <c r="E44" s="18" t="s">
        <v>131</v>
      </c>
      <c r="F44" s="20">
        <f t="shared" si="1"/>
        <v>665</v>
      </c>
      <c r="G44" s="21">
        <v>20</v>
      </c>
      <c r="H44" s="20">
        <f t="shared" si="0"/>
        <v>684</v>
      </c>
    </row>
    <row r="45" spans="1:8" ht="40" x14ac:dyDescent="0.35">
      <c r="A45" s="9" t="s">
        <v>108</v>
      </c>
      <c r="B45" s="19" t="s">
        <v>41</v>
      </c>
      <c r="C45" s="18" t="s">
        <v>66</v>
      </c>
      <c r="D45" s="19" t="s">
        <v>167</v>
      </c>
      <c r="E45" s="18" t="s">
        <v>131</v>
      </c>
      <c r="F45" s="20">
        <f t="shared" si="1"/>
        <v>685</v>
      </c>
      <c r="G45" s="21">
        <v>10</v>
      </c>
      <c r="H45" s="20">
        <f t="shared" si="0"/>
        <v>694</v>
      </c>
    </row>
    <row r="46" spans="1:8" ht="30" x14ac:dyDescent="0.35">
      <c r="A46" s="9" t="s">
        <v>109</v>
      </c>
      <c r="B46" s="19" t="s">
        <v>42</v>
      </c>
      <c r="C46" s="18" t="s">
        <v>66</v>
      </c>
      <c r="D46" s="19" t="s">
        <v>168</v>
      </c>
      <c r="E46" s="18" t="s">
        <v>131</v>
      </c>
      <c r="F46" s="20">
        <f t="shared" si="1"/>
        <v>695</v>
      </c>
      <c r="G46" s="21">
        <v>255</v>
      </c>
      <c r="H46" s="20">
        <f t="shared" si="0"/>
        <v>949</v>
      </c>
    </row>
    <row r="47" spans="1:8" ht="40" x14ac:dyDescent="0.35">
      <c r="A47" s="9" t="s">
        <v>110</v>
      </c>
      <c r="B47" s="19" t="s">
        <v>43</v>
      </c>
      <c r="C47" s="18" t="s">
        <v>66</v>
      </c>
      <c r="D47" s="19" t="s">
        <v>169</v>
      </c>
      <c r="E47" s="18" t="s">
        <v>130</v>
      </c>
      <c r="F47" s="20">
        <f t="shared" si="1"/>
        <v>950</v>
      </c>
      <c r="G47" s="21">
        <v>8</v>
      </c>
      <c r="H47" s="20">
        <f t="shared" si="0"/>
        <v>957</v>
      </c>
    </row>
    <row r="48" spans="1:8" ht="100" x14ac:dyDescent="0.35">
      <c r="A48" s="9" t="s">
        <v>111</v>
      </c>
      <c r="B48" s="19" t="s">
        <v>44</v>
      </c>
      <c r="C48" s="18" t="s">
        <v>66</v>
      </c>
      <c r="D48" s="19" t="s">
        <v>158</v>
      </c>
      <c r="E48" s="18" t="s">
        <v>131</v>
      </c>
      <c r="F48" s="20">
        <f t="shared" si="1"/>
        <v>958</v>
      </c>
      <c r="G48" s="21">
        <v>3</v>
      </c>
      <c r="H48" s="20">
        <f t="shared" si="0"/>
        <v>960</v>
      </c>
    </row>
    <row r="49" spans="1:8" ht="100" x14ac:dyDescent="0.35">
      <c r="A49" s="9" t="s">
        <v>112</v>
      </c>
      <c r="B49" s="19" t="s">
        <v>45</v>
      </c>
      <c r="C49" s="18" t="s">
        <v>66</v>
      </c>
      <c r="D49" s="19" t="s">
        <v>170</v>
      </c>
      <c r="E49" s="18" t="s">
        <v>131</v>
      </c>
      <c r="F49" s="20">
        <f t="shared" si="1"/>
        <v>961</v>
      </c>
      <c r="G49" s="21">
        <v>20</v>
      </c>
      <c r="H49" s="20">
        <f t="shared" si="0"/>
        <v>980</v>
      </c>
    </row>
    <row r="50" spans="1:8" ht="70" x14ac:dyDescent="0.35">
      <c r="A50" s="9" t="s">
        <v>113</v>
      </c>
      <c r="B50" s="19" t="s">
        <v>46</v>
      </c>
      <c r="C50" s="18" t="s">
        <v>66</v>
      </c>
      <c r="D50" s="19" t="s">
        <v>171</v>
      </c>
      <c r="E50" s="18" t="s">
        <v>131</v>
      </c>
      <c r="F50" s="20">
        <f t="shared" si="1"/>
        <v>981</v>
      </c>
      <c r="G50" s="21">
        <v>4</v>
      </c>
      <c r="H50" s="20">
        <f t="shared" si="0"/>
        <v>984</v>
      </c>
    </row>
    <row r="51" spans="1:8" ht="30" x14ac:dyDescent="0.35">
      <c r="A51" s="9" t="s">
        <v>114</v>
      </c>
      <c r="B51" s="19" t="s">
        <v>47</v>
      </c>
      <c r="C51" s="18" t="s">
        <v>66</v>
      </c>
      <c r="D51" s="19" t="s">
        <v>172</v>
      </c>
      <c r="E51" s="18" t="s">
        <v>131</v>
      </c>
      <c r="F51" s="20">
        <f t="shared" si="1"/>
        <v>985</v>
      </c>
      <c r="G51" s="21">
        <v>35</v>
      </c>
      <c r="H51" s="20">
        <f t="shared" si="0"/>
        <v>1019</v>
      </c>
    </row>
    <row r="52" spans="1:8" ht="50" x14ac:dyDescent="0.35">
      <c r="A52" s="10" t="s">
        <v>115</v>
      </c>
      <c r="B52" s="19" t="s">
        <v>48</v>
      </c>
      <c r="C52" s="18" t="s">
        <v>66</v>
      </c>
      <c r="D52" s="19" t="s">
        <v>173</v>
      </c>
      <c r="E52" s="18" t="s">
        <v>131</v>
      </c>
      <c r="F52" s="20">
        <f t="shared" si="1"/>
        <v>1020</v>
      </c>
      <c r="G52" s="21">
        <v>8</v>
      </c>
      <c r="H52" s="20">
        <f t="shared" si="0"/>
        <v>1027</v>
      </c>
    </row>
    <row r="53" spans="1:8" ht="160" x14ac:dyDescent="0.35">
      <c r="A53" s="9" t="s">
        <v>116</v>
      </c>
      <c r="B53" s="19" t="s">
        <v>49</v>
      </c>
      <c r="C53" s="18" t="s">
        <v>65</v>
      </c>
      <c r="D53" s="19" t="s">
        <v>174</v>
      </c>
      <c r="E53" s="18" t="s">
        <v>131</v>
      </c>
      <c r="F53" s="20">
        <f t="shared" si="1"/>
        <v>1028</v>
      </c>
      <c r="G53" s="21">
        <v>7</v>
      </c>
      <c r="H53" s="20">
        <f t="shared" si="0"/>
        <v>1034</v>
      </c>
    </row>
    <row r="54" spans="1:8" ht="40" x14ac:dyDescent="0.35">
      <c r="A54" s="9" t="s">
        <v>117</v>
      </c>
      <c r="B54" s="19" t="s">
        <v>50</v>
      </c>
      <c r="C54" s="18" t="s">
        <v>65</v>
      </c>
      <c r="D54" s="19" t="s">
        <v>50</v>
      </c>
      <c r="E54" s="18" t="s">
        <v>131</v>
      </c>
      <c r="F54" s="20">
        <f t="shared" si="1"/>
        <v>1035</v>
      </c>
      <c r="G54" s="21">
        <v>2</v>
      </c>
      <c r="H54" s="20">
        <f t="shared" si="0"/>
        <v>1036</v>
      </c>
    </row>
    <row r="55" spans="1:8" ht="20" x14ac:dyDescent="0.35">
      <c r="A55" s="9" t="s">
        <v>118</v>
      </c>
      <c r="B55" s="19" t="s">
        <v>51</v>
      </c>
      <c r="C55" s="18" t="s">
        <v>66</v>
      </c>
      <c r="D55" s="19" t="s">
        <v>51</v>
      </c>
      <c r="E55" s="18" t="s">
        <v>131</v>
      </c>
      <c r="F55" s="20">
        <f t="shared" si="1"/>
        <v>1037</v>
      </c>
      <c r="G55" s="21">
        <v>3</v>
      </c>
      <c r="H55" s="20">
        <f t="shared" si="0"/>
        <v>1039</v>
      </c>
    </row>
    <row r="56" spans="1:8" ht="60" x14ac:dyDescent="0.35">
      <c r="A56" s="9" t="s">
        <v>119</v>
      </c>
      <c r="B56" s="19" t="s">
        <v>52</v>
      </c>
      <c r="C56" s="18" t="s">
        <v>66</v>
      </c>
      <c r="D56" s="19" t="s">
        <v>175</v>
      </c>
      <c r="E56" s="18" t="s">
        <v>131</v>
      </c>
      <c r="F56" s="20">
        <f t="shared" si="1"/>
        <v>1040</v>
      </c>
      <c r="G56" s="21">
        <v>4</v>
      </c>
      <c r="H56" s="20">
        <f t="shared" si="0"/>
        <v>1043</v>
      </c>
    </row>
    <row r="57" spans="1:8" ht="70" x14ac:dyDescent="0.35">
      <c r="A57" s="9" t="s">
        <v>120</v>
      </c>
      <c r="B57" s="19" t="s">
        <v>53</v>
      </c>
      <c r="C57" s="18" t="s">
        <v>65</v>
      </c>
      <c r="D57" s="19" t="s">
        <v>157</v>
      </c>
      <c r="E57" s="18" t="s">
        <v>131</v>
      </c>
      <c r="F57" s="20">
        <f t="shared" si="1"/>
        <v>1044</v>
      </c>
      <c r="G57" s="21">
        <v>1</v>
      </c>
      <c r="H57" s="20">
        <f t="shared" si="0"/>
        <v>1044</v>
      </c>
    </row>
    <row r="58" spans="1:8" ht="50" x14ac:dyDescent="0.35">
      <c r="A58" s="9" t="s">
        <v>121</v>
      </c>
      <c r="B58" s="19" t="s">
        <v>54</v>
      </c>
      <c r="C58" s="18" t="s">
        <v>65</v>
      </c>
      <c r="D58" s="19" t="s">
        <v>138</v>
      </c>
      <c r="E58" s="18" t="s">
        <v>131</v>
      </c>
      <c r="F58" s="20">
        <f>F57+G57</f>
        <v>1045</v>
      </c>
      <c r="G58" s="21">
        <v>1</v>
      </c>
      <c r="H58" s="20">
        <f t="shared" si="0"/>
        <v>1045</v>
      </c>
    </row>
    <row r="59" spans="1:8" ht="20" x14ac:dyDescent="0.35">
      <c r="A59" s="9" t="s">
        <v>122</v>
      </c>
      <c r="B59" s="19" t="s">
        <v>55</v>
      </c>
      <c r="C59" s="18" t="s">
        <v>66</v>
      </c>
      <c r="D59" s="19" t="s">
        <v>176</v>
      </c>
      <c r="E59" s="18" t="s">
        <v>131</v>
      </c>
      <c r="F59" s="20">
        <v>1046</v>
      </c>
      <c r="G59" s="21">
        <v>50</v>
      </c>
      <c r="H59" s="20">
        <f t="shared" si="0"/>
        <v>1095</v>
      </c>
    </row>
    <row r="60" spans="1:8" ht="60" x14ac:dyDescent="0.35">
      <c r="A60" s="9" t="s">
        <v>123</v>
      </c>
      <c r="B60" s="19" t="s">
        <v>56</v>
      </c>
      <c r="C60" s="18" t="s">
        <v>65</v>
      </c>
      <c r="D60" s="19" t="s">
        <v>177</v>
      </c>
      <c r="E60" s="18" t="s">
        <v>130</v>
      </c>
      <c r="F60" s="20">
        <v>1096</v>
      </c>
      <c r="G60" s="21">
        <v>1</v>
      </c>
      <c r="H60" s="20">
        <f t="shared" si="0"/>
        <v>1096</v>
      </c>
    </row>
    <row r="61" spans="1:8" ht="50" x14ac:dyDescent="0.35">
      <c r="A61" s="9" t="s">
        <v>124</v>
      </c>
      <c r="B61" s="19" t="s">
        <v>57</v>
      </c>
      <c r="C61" s="18" t="s">
        <v>66</v>
      </c>
      <c r="D61" s="19" t="s">
        <v>178</v>
      </c>
      <c r="E61" s="18" t="s">
        <v>131</v>
      </c>
      <c r="F61" s="20">
        <v>1097</v>
      </c>
      <c r="G61" s="21">
        <v>10</v>
      </c>
      <c r="H61" s="20">
        <f t="shared" si="0"/>
        <v>1106</v>
      </c>
    </row>
    <row r="62" spans="1:8" ht="220" x14ac:dyDescent="0.35">
      <c r="A62" s="9" t="s">
        <v>125</v>
      </c>
      <c r="B62" s="19" t="s">
        <v>58</v>
      </c>
      <c r="C62" s="18" t="s">
        <v>66</v>
      </c>
      <c r="D62" s="19" t="s">
        <v>179</v>
      </c>
      <c r="E62" s="18" t="s">
        <v>130</v>
      </c>
      <c r="F62" s="20">
        <v>1107</v>
      </c>
      <c r="G62" s="21">
        <v>7</v>
      </c>
      <c r="H62" s="20">
        <f t="shared" si="0"/>
        <v>1113</v>
      </c>
    </row>
    <row r="63" spans="1:8" ht="180" x14ac:dyDescent="0.35">
      <c r="A63" s="9" t="s">
        <v>126</v>
      </c>
      <c r="B63" s="19" t="s">
        <v>59</v>
      </c>
      <c r="C63" s="18" t="s">
        <v>65</v>
      </c>
      <c r="D63" s="19" t="s">
        <v>180</v>
      </c>
      <c r="E63" s="18" t="s">
        <v>132</v>
      </c>
      <c r="F63" s="20">
        <v>1114</v>
      </c>
      <c r="G63" s="21">
        <v>3</v>
      </c>
      <c r="H63" s="20">
        <f t="shared" si="0"/>
        <v>1116</v>
      </c>
    </row>
    <row r="64" spans="1:8" ht="180" x14ac:dyDescent="0.35">
      <c r="A64" s="9" t="s">
        <v>127</v>
      </c>
      <c r="B64" s="19" t="s">
        <v>60</v>
      </c>
      <c r="C64" s="18" t="s">
        <v>65</v>
      </c>
      <c r="D64" s="19" t="s">
        <v>181</v>
      </c>
      <c r="E64" s="18" t="s">
        <v>130</v>
      </c>
      <c r="F64" s="20">
        <v>1117</v>
      </c>
      <c r="G64" s="21">
        <v>1</v>
      </c>
      <c r="H64" s="20">
        <f>F64+G64-1</f>
        <v>1117</v>
      </c>
    </row>
    <row r="65" spans="1:8" ht="40" x14ac:dyDescent="0.35">
      <c r="A65" s="9" t="s">
        <v>128</v>
      </c>
      <c r="B65" s="19" t="s">
        <v>61</v>
      </c>
      <c r="C65" s="18" t="s">
        <v>65</v>
      </c>
      <c r="D65" s="19" t="s">
        <v>138</v>
      </c>
      <c r="E65" s="18" t="s">
        <v>131</v>
      </c>
      <c r="F65" s="20">
        <v>1118</v>
      </c>
      <c r="G65" s="21">
        <v>1</v>
      </c>
      <c r="H65" s="20">
        <f>F65+G65-1</f>
        <v>1118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3783-75BE-4F9F-BD57-DEBDF03BE9D3}">
  <dimension ref="A2:DQ10"/>
  <sheetViews>
    <sheetView workbookViewId="0">
      <selection activeCell="A10" sqref="A10:BE10"/>
    </sheetView>
  </sheetViews>
  <sheetFormatPr defaultRowHeight="14.5" x14ac:dyDescent="0.35"/>
  <cols>
    <col min="1" max="1" width="15.90625" style="1" bestFit="1" customWidth="1"/>
    <col min="2" max="2" width="16" style="1" bestFit="1" customWidth="1"/>
    <col min="3" max="3" width="17.26953125" style="1" bestFit="1" customWidth="1"/>
    <col min="4" max="4" width="23.453125" style="1" bestFit="1" customWidth="1"/>
    <col min="5" max="5" width="27.26953125" style="1" bestFit="1" customWidth="1"/>
    <col min="6" max="6" width="15.81640625" style="1" bestFit="1" customWidth="1"/>
    <col min="7" max="7" width="17.7265625" style="1" bestFit="1" customWidth="1"/>
    <col min="8" max="8" width="21.6328125" style="1" bestFit="1" customWidth="1"/>
    <col min="9" max="9" width="19.1796875" style="1" bestFit="1" customWidth="1"/>
    <col min="10" max="10" width="16.6328125" style="1" bestFit="1" customWidth="1"/>
    <col min="11" max="11" width="19" style="1" bestFit="1" customWidth="1"/>
    <col min="12" max="12" width="20.81640625" style="1" bestFit="1" customWidth="1"/>
    <col min="13" max="13" width="23" style="1" bestFit="1" customWidth="1"/>
    <col min="14" max="14" width="15.54296875" style="1" bestFit="1" customWidth="1"/>
    <col min="15" max="15" width="21.1796875" style="1" bestFit="1" customWidth="1"/>
    <col min="16" max="16" width="19.81640625" style="1" bestFit="1" customWidth="1"/>
    <col min="17" max="17" width="27.36328125" style="1" bestFit="1" customWidth="1"/>
    <col min="18" max="18" width="24.36328125" style="1" bestFit="1" customWidth="1"/>
    <col min="19" max="19" width="22.90625" style="1" bestFit="1" customWidth="1"/>
    <col min="20" max="20" width="23.1796875" style="1" bestFit="1" customWidth="1"/>
    <col min="21" max="21" width="20.453125" style="1" bestFit="1" customWidth="1"/>
    <col min="22" max="22" width="23.90625" style="1" bestFit="1" customWidth="1"/>
    <col min="23" max="23" width="24" style="1" bestFit="1" customWidth="1"/>
    <col min="24" max="24" width="27.54296875" style="1" bestFit="1" customWidth="1"/>
    <col min="25" max="25" width="19.54296875" style="1" bestFit="1" customWidth="1"/>
    <col min="26" max="26" width="11.26953125" style="1" bestFit="1" customWidth="1"/>
    <col min="27" max="27" width="15.1796875" style="1" bestFit="1" customWidth="1"/>
    <col min="28" max="30" width="16.1796875" style="1" bestFit="1" customWidth="1"/>
    <col min="31" max="31" width="11.81640625" style="1" bestFit="1" customWidth="1"/>
    <col min="32" max="32" width="13.90625" style="1" bestFit="1" customWidth="1"/>
    <col min="33" max="33" width="14.90625" style="1" bestFit="1" customWidth="1"/>
    <col min="34" max="35" width="14.54296875" style="1" bestFit="1" customWidth="1"/>
    <col min="36" max="36" width="8.7265625" style="1"/>
    <col min="37" max="37" width="16.81640625" style="1" bestFit="1" customWidth="1"/>
    <col min="38" max="38" width="10.54296875" style="1" bestFit="1" customWidth="1"/>
    <col min="39" max="39" width="19.7265625" style="1" bestFit="1" customWidth="1"/>
    <col min="40" max="41" width="26.7265625" style="1" bestFit="1" customWidth="1"/>
    <col min="42" max="42" width="22.36328125" style="1" bestFit="1" customWidth="1"/>
    <col min="43" max="43" width="17" style="1" bestFit="1" customWidth="1"/>
    <col min="44" max="44" width="15" style="1" bestFit="1" customWidth="1"/>
    <col min="45" max="45" width="18.6328125" style="1" bestFit="1" customWidth="1"/>
    <col min="46" max="46" width="22.7265625" style="1" bestFit="1" customWidth="1"/>
    <col min="47" max="47" width="21.54296875" style="1" bestFit="1" customWidth="1"/>
    <col min="48" max="48" width="15.54296875" style="1" bestFit="1" customWidth="1"/>
    <col min="49" max="49" width="28.08984375" style="1" bestFit="1" customWidth="1"/>
    <col min="50" max="50" width="24.81640625" style="1" bestFit="1" customWidth="1"/>
    <col min="51" max="51" width="11" style="1" bestFit="1" customWidth="1"/>
    <col min="52" max="52" width="25.08984375" style="1" bestFit="1" customWidth="1"/>
    <col min="53" max="53" width="19.6328125" style="1" bestFit="1" customWidth="1"/>
    <col min="54" max="54" width="21.54296875" style="1" bestFit="1" customWidth="1"/>
    <col min="55" max="55" width="21.6328125" bestFit="1" customWidth="1"/>
    <col min="56" max="56" width="25.08984375" bestFit="1" customWidth="1"/>
    <col min="57" max="57" width="24.81640625" bestFit="1" customWidth="1"/>
    <col min="58" max="58" width="17.453125" style="8" bestFit="1" customWidth="1"/>
    <col min="59" max="59" width="14" style="8" bestFit="1" customWidth="1"/>
    <col min="60" max="60" width="17" style="8" bestFit="1" customWidth="1"/>
    <col min="61" max="61" width="22.36328125" style="8" bestFit="1" customWidth="1"/>
    <col min="62" max="62" width="9.6328125" style="8" bestFit="1" customWidth="1"/>
    <col min="63" max="63" width="20.7265625" style="8" bestFit="1" customWidth="1"/>
    <col min="64" max="64" width="19.1796875" style="8" bestFit="1" customWidth="1"/>
    <col min="65" max="65" width="20.1796875" style="8" bestFit="1" customWidth="1"/>
    <col min="66" max="66" width="26.7265625" style="8" bestFit="1" customWidth="1"/>
    <col min="67" max="67" width="31.08984375" style="8" bestFit="1" customWidth="1"/>
    <col min="68" max="68" width="18.54296875" style="8" bestFit="1" customWidth="1"/>
    <col min="69" max="69" width="20.81640625" style="8" bestFit="1" customWidth="1"/>
    <col min="70" max="70" width="24.90625" style="8" bestFit="1" customWidth="1"/>
    <col min="71" max="71" width="22.08984375" style="8" bestFit="1" customWidth="1"/>
    <col min="72" max="72" width="19.7265625" style="8" bestFit="1" customWidth="1"/>
    <col min="73" max="73" width="26.1796875" style="8" customWidth="1"/>
    <col min="74" max="74" width="24.26953125" style="8" bestFit="1" customWidth="1"/>
    <col min="75" max="75" width="26.1796875" style="8" bestFit="1" customWidth="1"/>
    <col min="76" max="76" width="18.36328125" style="8" bestFit="1" customWidth="1"/>
    <col min="77" max="77" width="24.26953125" style="8" bestFit="1" customWidth="1"/>
    <col min="78" max="78" width="23.1796875" style="8" bestFit="1" customWidth="1"/>
    <col min="79" max="79" width="31.1796875" style="8" bestFit="1" customWidth="1"/>
    <col min="80" max="80" width="27.81640625" style="8" bestFit="1" customWidth="1"/>
    <col min="81" max="81" width="26" style="8" bestFit="1" customWidth="1"/>
    <col min="82" max="82" width="26.26953125" style="8" bestFit="1" customWidth="1"/>
    <col min="83" max="83" width="23.26953125" style="8" bestFit="1" customWidth="1"/>
    <col min="84" max="84" width="26.81640625" style="8" bestFit="1" customWidth="1"/>
    <col min="85" max="85" width="27" style="8" bestFit="1" customWidth="1"/>
    <col min="86" max="86" width="30.90625" style="8" bestFit="1" customWidth="1"/>
    <col min="87" max="87" width="22.36328125" style="8" bestFit="1" customWidth="1"/>
    <col min="88" max="88" width="13.7265625" style="8" bestFit="1" customWidth="1"/>
    <col min="89" max="89" width="17.81640625" style="8" bestFit="1" customWidth="1"/>
    <col min="90" max="92" width="19.36328125" style="8" bestFit="1" customWidth="1"/>
    <col min="93" max="93" width="14.453125" style="8" bestFit="1" customWidth="1"/>
    <col min="94" max="94" width="16.6328125" style="8" bestFit="1" customWidth="1"/>
    <col min="95" max="95" width="17.7265625" style="8" bestFit="1" customWidth="1"/>
    <col min="96" max="96" width="17.26953125" style="8" bestFit="1" customWidth="1"/>
    <col min="97" max="97" width="17.1796875" style="8" bestFit="1" customWidth="1"/>
    <col min="98" max="98" width="12.26953125" style="8" bestFit="1" customWidth="1"/>
    <col min="99" max="99" width="19.6328125" style="8" bestFit="1" customWidth="1"/>
    <col min="100" max="100" width="17.54296875" style="8" bestFit="1" customWidth="1"/>
    <col min="101" max="101" width="23" style="8" bestFit="1" customWidth="1"/>
    <col min="102" max="102" width="29.7265625" style="8" bestFit="1" customWidth="1"/>
    <col min="103" max="103" width="29.54296875" style="8" bestFit="1" customWidth="1"/>
    <col min="104" max="104" width="25.453125" style="8" bestFit="1" customWidth="1"/>
    <col min="105" max="105" width="19.90625" style="8" bestFit="1" customWidth="1"/>
    <col min="106" max="106" width="18.26953125" style="8" bestFit="1" customWidth="1"/>
    <col min="107" max="107" width="21.81640625" style="8" bestFit="1" customWidth="1"/>
    <col min="108" max="108" width="25.08984375" style="8" bestFit="1" customWidth="1"/>
    <col min="109" max="109" width="24.36328125" style="8" bestFit="1" customWidth="1"/>
    <col min="110" max="110" width="17.81640625" style="8" bestFit="1" customWidth="1"/>
    <col min="111" max="111" width="30.81640625" style="8" bestFit="1" customWidth="1"/>
    <col min="112" max="112" width="27.54296875" style="8" bestFit="1" customWidth="1"/>
    <col min="113" max="113" width="14.7265625" style="8" bestFit="1" customWidth="1"/>
    <col min="114" max="114" width="27.36328125" style="8" bestFit="1" customWidth="1"/>
    <col min="115" max="115" width="22.36328125" style="8" bestFit="1" customWidth="1"/>
    <col min="116" max="116" width="24.54296875" style="8" bestFit="1" customWidth="1"/>
    <col min="117" max="117" width="24.36328125" style="8" bestFit="1" customWidth="1"/>
    <col min="118" max="118" width="27.54296875" style="8" bestFit="1" customWidth="1"/>
    <col min="119" max="119" width="27.81640625" style="8" bestFit="1" customWidth="1"/>
  </cols>
  <sheetData>
    <row r="2" spans="1:121" ht="74" customHeight="1" x14ac:dyDescent="0.55000000000000004">
      <c r="A2" s="2" t="s">
        <v>64</v>
      </c>
      <c r="B2" s="2">
        <v>1</v>
      </c>
      <c r="BF2" s="8" t="s">
        <v>0</v>
      </c>
      <c r="BG2" s="8" t="s">
        <v>1</v>
      </c>
      <c r="BH2" s="8" t="s">
        <v>2</v>
      </c>
      <c r="BI2" s="8" t="s">
        <v>3</v>
      </c>
      <c r="BJ2" s="8" t="s">
        <v>4</v>
      </c>
      <c r="BK2" s="8" t="s">
        <v>5</v>
      </c>
      <c r="BL2" s="8" t="s">
        <v>6</v>
      </c>
      <c r="BM2" s="8" t="s">
        <v>7</v>
      </c>
      <c r="BN2" s="8" t="s">
        <v>8</v>
      </c>
      <c r="BO2" s="8" t="s">
        <v>9</v>
      </c>
      <c r="BP2" s="8" t="s">
        <v>10</v>
      </c>
      <c r="BQ2" s="8" t="s">
        <v>11</v>
      </c>
      <c r="BR2" s="8" t="s">
        <v>12</v>
      </c>
      <c r="BS2" s="8" t="s">
        <v>13</v>
      </c>
      <c r="BT2" s="8" t="s">
        <v>14</v>
      </c>
      <c r="BU2" s="8" t="s">
        <v>15</v>
      </c>
      <c r="BV2" s="8" t="s">
        <v>16</v>
      </c>
      <c r="BW2" s="8" t="s">
        <v>17</v>
      </c>
      <c r="BX2" s="8" t="s">
        <v>18</v>
      </c>
      <c r="BY2" s="8" t="s">
        <v>19</v>
      </c>
      <c r="BZ2" s="8" t="s">
        <v>20</v>
      </c>
      <c r="CA2" s="8" t="s">
        <v>21</v>
      </c>
      <c r="CB2" s="8" t="s">
        <v>22</v>
      </c>
      <c r="CC2" s="8" t="s">
        <v>23</v>
      </c>
      <c r="CD2" s="8" t="s">
        <v>24</v>
      </c>
      <c r="CE2" s="8" t="s">
        <v>25</v>
      </c>
      <c r="CF2" s="8" t="s">
        <v>26</v>
      </c>
      <c r="CG2" s="8" t="s">
        <v>27</v>
      </c>
      <c r="CH2" s="8" t="s">
        <v>28</v>
      </c>
      <c r="CI2" s="8" t="s">
        <v>29</v>
      </c>
      <c r="CJ2" s="8" t="s">
        <v>30</v>
      </c>
      <c r="CK2" s="8" t="s">
        <v>31</v>
      </c>
      <c r="CL2" s="8" t="s">
        <v>32</v>
      </c>
      <c r="CM2" s="8" t="s">
        <v>33</v>
      </c>
      <c r="CN2" s="8" t="s">
        <v>34</v>
      </c>
      <c r="CO2" s="8" t="s">
        <v>35</v>
      </c>
      <c r="CP2" s="8" t="s">
        <v>36</v>
      </c>
      <c r="CQ2" s="8" t="s">
        <v>37</v>
      </c>
      <c r="CR2" s="8" t="s">
        <v>38</v>
      </c>
      <c r="CS2" s="8" t="s">
        <v>39</v>
      </c>
      <c r="CT2" s="8" t="s">
        <v>40</v>
      </c>
      <c r="CU2" s="8" t="s">
        <v>41</v>
      </c>
      <c r="CV2" s="8" t="s">
        <v>42</v>
      </c>
      <c r="CW2" s="8" t="s">
        <v>43</v>
      </c>
      <c r="CX2" s="8" t="s">
        <v>44</v>
      </c>
      <c r="CY2" s="8" t="s">
        <v>45</v>
      </c>
      <c r="CZ2" s="8" t="s">
        <v>46</v>
      </c>
      <c r="DA2" s="8" t="s">
        <v>47</v>
      </c>
      <c r="DB2" s="8" t="s">
        <v>48</v>
      </c>
      <c r="DC2" s="8" t="s">
        <v>49</v>
      </c>
      <c r="DD2" s="8" t="s">
        <v>50</v>
      </c>
      <c r="DE2" s="8" t="s">
        <v>51</v>
      </c>
      <c r="DF2" s="8" t="s">
        <v>52</v>
      </c>
      <c r="DG2" s="8" t="s">
        <v>53</v>
      </c>
      <c r="DH2" s="8" t="s">
        <v>54</v>
      </c>
      <c r="DI2" s="8" t="s">
        <v>55</v>
      </c>
      <c r="DJ2" s="8" t="s">
        <v>56</v>
      </c>
      <c r="DK2" s="8" t="s">
        <v>57</v>
      </c>
      <c r="DL2" s="8" t="s">
        <v>58</v>
      </c>
      <c r="DM2" s="8" t="s">
        <v>59</v>
      </c>
      <c r="DN2" s="8" t="s">
        <v>60</v>
      </c>
      <c r="DO2" s="8" t="s">
        <v>61</v>
      </c>
    </row>
    <row r="3" spans="1:121" x14ac:dyDescent="0.35">
      <c r="BF3" s="6">
        <v>7</v>
      </c>
      <c r="BG3" s="6">
        <v>4</v>
      </c>
      <c r="BH3" s="6">
        <v>2</v>
      </c>
      <c r="BI3" s="6">
        <v>2</v>
      </c>
      <c r="BJ3" s="6">
        <v>3</v>
      </c>
      <c r="BK3" s="6">
        <v>1</v>
      </c>
      <c r="BL3" s="6">
        <v>15</v>
      </c>
      <c r="BM3" s="6">
        <v>3</v>
      </c>
      <c r="BN3" s="6">
        <v>1</v>
      </c>
      <c r="BO3" s="6">
        <v>40</v>
      </c>
      <c r="BP3" s="6">
        <v>3</v>
      </c>
      <c r="BQ3" s="6">
        <v>4</v>
      </c>
      <c r="BR3" s="6">
        <v>1</v>
      </c>
      <c r="BS3" s="6">
        <v>3</v>
      </c>
      <c r="BT3" s="6">
        <v>3</v>
      </c>
      <c r="BU3" s="6">
        <v>21</v>
      </c>
      <c r="BV3" s="6">
        <v>15</v>
      </c>
      <c r="BW3" s="6">
        <v>3</v>
      </c>
      <c r="BX3" s="6">
        <v>4</v>
      </c>
      <c r="BY3" s="6">
        <v>4</v>
      </c>
      <c r="BZ3" s="6">
        <v>3</v>
      </c>
      <c r="CA3" s="6">
        <v>1</v>
      </c>
      <c r="CB3" s="6">
        <v>7</v>
      </c>
      <c r="CC3" s="6">
        <v>7</v>
      </c>
      <c r="CD3" s="6">
        <v>7</v>
      </c>
      <c r="CE3" s="6">
        <v>1</v>
      </c>
      <c r="CF3" s="6">
        <v>1</v>
      </c>
      <c r="CG3" s="6">
        <v>1</v>
      </c>
      <c r="CH3" s="6">
        <v>1</v>
      </c>
      <c r="CI3" s="6">
        <v>3</v>
      </c>
      <c r="CJ3" s="6">
        <v>255</v>
      </c>
      <c r="CK3" s="6">
        <v>50</v>
      </c>
      <c r="CL3" s="6">
        <v>40</v>
      </c>
      <c r="CM3" s="6">
        <v>40</v>
      </c>
      <c r="CN3" s="6">
        <v>40</v>
      </c>
      <c r="CO3" s="6">
        <v>3</v>
      </c>
      <c r="CP3" s="6">
        <v>2</v>
      </c>
      <c r="CQ3" s="6">
        <v>3</v>
      </c>
      <c r="CR3" s="6">
        <v>40</v>
      </c>
      <c r="CS3" s="6">
        <v>20</v>
      </c>
      <c r="CT3" s="6">
        <v>20</v>
      </c>
      <c r="CU3" s="6">
        <v>10</v>
      </c>
      <c r="CV3" s="6">
        <v>255</v>
      </c>
      <c r="CW3" s="6">
        <v>8</v>
      </c>
      <c r="CX3" s="6">
        <v>3</v>
      </c>
      <c r="CY3" s="6">
        <v>20</v>
      </c>
      <c r="CZ3" s="6">
        <v>4</v>
      </c>
      <c r="DA3" s="6">
        <v>35</v>
      </c>
      <c r="DB3" s="6">
        <v>8</v>
      </c>
      <c r="DC3" s="6">
        <v>7</v>
      </c>
      <c r="DD3" s="6">
        <v>2</v>
      </c>
      <c r="DE3" s="6">
        <v>3</v>
      </c>
      <c r="DF3" s="6">
        <v>4</v>
      </c>
      <c r="DG3" s="6">
        <v>1</v>
      </c>
      <c r="DH3" s="6">
        <v>1</v>
      </c>
      <c r="DI3" s="6">
        <v>50</v>
      </c>
      <c r="DJ3" s="6">
        <v>1</v>
      </c>
      <c r="DK3" s="6">
        <v>10</v>
      </c>
      <c r="DL3" s="6">
        <v>7</v>
      </c>
      <c r="DM3" s="6">
        <v>3</v>
      </c>
      <c r="DN3" s="6">
        <v>1</v>
      </c>
      <c r="DO3" s="6">
        <v>1</v>
      </c>
    </row>
    <row r="4" spans="1:121" s="1" customFormat="1" x14ac:dyDescent="0.35">
      <c r="BF4" s="6" t="s">
        <v>130</v>
      </c>
      <c r="BG4" s="6" t="s">
        <v>130</v>
      </c>
      <c r="BH4" s="6" t="s">
        <v>130</v>
      </c>
      <c r="BI4" s="6" t="s">
        <v>130</v>
      </c>
      <c r="BJ4" s="6" t="s">
        <v>130</v>
      </c>
      <c r="BK4" s="6" t="s">
        <v>130</v>
      </c>
      <c r="BL4" s="6" t="s">
        <v>130</v>
      </c>
      <c r="BM4" s="6" t="s">
        <v>130</v>
      </c>
      <c r="BN4" s="6" t="s">
        <v>130</v>
      </c>
      <c r="BO4" s="6" t="s">
        <v>130</v>
      </c>
      <c r="BP4" s="6" t="s">
        <v>130</v>
      </c>
      <c r="BQ4" s="6" t="s">
        <v>131</v>
      </c>
      <c r="BR4" s="6" t="s">
        <v>130</v>
      </c>
      <c r="BS4" s="6" t="s">
        <v>131</v>
      </c>
      <c r="BT4" s="6" t="s">
        <v>131</v>
      </c>
      <c r="BU4" s="6" t="s">
        <v>131</v>
      </c>
      <c r="BV4" s="6" t="s">
        <v>132</v>
      </c>
      <c r="BW4" s="6" t="s">
        <v>132</v>
      </c>
      <c r="BX4" s="6" t="s">
        <v>130</v>
      </c>
      <c r="BY4" s="6" t="s">
        <v>131</v>
      </c>
      <c r="BZ4" s="6" t="s">
        <v>132</v>
      </c>
      <c r="CA4" s="6" t="s">
        <v>132</v>
      </c>
      <c r="CB4" s="6" t="s">
        <v>132</v>
      </c>
      <c r="CC4" s="6" t="s">
        <v>132</v>
      </c>
      <c r="CD4" s="6" t="s">
        <v>132</v>
      </c>
      <c r="CE4" s="6" t="s">
        <v>132</v>
      </c>
      <c r="CF4" s="6" t="s">
        <v>132</v>
      </c>
      <c r="CG4" s="6" t="s">
        <v>132</v>
      </c>
      <c r="CH4" s="6" t="s">
        <v>132</v>
      </c>
      <c r="CI4" s="6" t="s">
        <v>131</v>
      </c>
      <c r="CJ4" s="6" t="s">
        <v>131</v>
      </c>
      <c r="CK4" s="6" t="s">
        <v>131</v>
      </c>
      <c r="CL4" s="6" t="s">
        <v>131</v>
      </c>
      <c r="CM4" s="6" t="s">
        <v>131</v>
      </c>
      <c r="CN4" s="6" t="s">
        <v>131</v>
      </c>
      <c r="CO4" s="6" t="s">
        <v>131</v>
      </c>
      <c r="CP4" s="6" t="s">
        <v>132</v>
      </c>
      <c r="CQ4" s="6" t="s">
        <v>132</v>
      </c>
      <c r="CR4" s="6" t="s">
        <v>131</v>
      </c>
      <c r="CS4" s="6" t="s">
        <v>131</v>
      </c>
      <c r="CT4" s="6" t="s">
        <v>131</v>
      </c>
      <c r="CU4" s="6" t="s">
        <v>131</v>
      </c>
      <c r="CV4" s="6" t="s">
        <v>131</v>
      </c>
      <c r="CW4" s="6" t="s">
        <v>130</v>
      </c>
      <c r="CX4" s="6" t="s">
        <v>131</v>
      </c>
      <c r="CY4" s="6" t="s">
        <v>131</v>
      </c>
      <c r="CZ4" s="6" t="s">
        <v>131</v>
      </c>
      <c r="DA4" s="6" t="s">
        <v>131</v>
      </c>
      <c r="DB4" s="6" t="s">
        <v>131</v>
      </c>
      <c r="DC4" s="6" t="s">
        <v>131</v>
      </c>
      <c r="DD4" s="6" t="s">
        <v>131</v>
      </c>
      <c r="DE4" s="6" t="s">
        <v>131</v>
      </c>
      <c r="DF4" s="6" t="s">
        <v>131</v>
      </c>
      <c r="DG4" s="6" t="s">
        <v>131</v>
      </c>
      <c r="DH4" s="6" t="s">
        <v>131</v>
      </c>
      <c r="DI4" s="6" t="s">
        <v>131</v>
      </c>
      <c r="DJ4" s="6" t="s">
        <v>130</v>
      </c>
      <c r="DK4" s="6" t="s">
        <v>131</v>
      </c>
      <c r="DL4" s="6" t="s">
        <v>130</v>
      </c>
      <c r="DM4" s="6" t="s">
        <v>132</v>
      </c>
      <c r="DN4" s="6" t="s">
        <v>130</v>
      </c>
      <c r="DO4" s="6" t="s">
        <v>131</v>
      </c>
    </row>
    <row r="5" spans="1:121" x14ac:dyDescent="0.35">
      <c r="BF5" s="6" t="s">
        <v>65</v>
      </c>
      <c r="BG5" s="6" t="s">
        <v>65</v>
      </c>
      <c r="BH5" s="6" t="s">
        <v>65</v>
      </c>
      <c r="BI5" s="6" t="s">
        <v>65</v>
      </c>
      <c r="BJ5" s="6" t="s">
        <v>65</v>
      </c>
      <c r="BK5" s="6" t="s">
        <v>65</v>
      </c>
      <c r="BL5" s="6" t="s">
        <v>66</v>
      </c>
      <c r="BM5" s="6" t="s">
        <v>66</v>
      </c>
      <c r="BN5" s="6" t="s">
        <v>65</v>
      </c>
      <c r="BO5" s="6" t="s">
        <v>66</v>
      </c>
      <c r="BP5" s="6" t="s">
        <v>66</v>
      </c>
      <c r="BQ5" s="6" t="s">
        <v>66</v>
      </c>
      <c r="BR5" s="6" t="s">
        <v>66</v>
      </c>
      <c r="BS5" s="6" t="s">
        <v>66</v>
      </c>
      <c r="BT5" s="6" t="s">
        <v>65</v>
      </c>
      <c r="BU5" s="6" t="s">
        <v>65</v>
      </c>
      <c r="BV5" s="6" t="s">
        <v>66</v>
      </c>
      <c r="BW5" s="6" t="s">
        <v>66</v>
      </c>
      <c r="BX5" s="6" t="s">
        <v>66</v>
      </c>
      <c r="BY5" s="6" t="s">
        <v>66</v>
      </c>
      <c r="BZ5" s="6" t="s">
        <v>66</v>
      </c>
      <c r="CA5" s="6" t="s">
        <v>65</v>
      </c>
      <c r="CB5" s="6" t="s">
        <v>65</v>
      </c>
      <c r="CC5" s="6" t="s">
        <v>65</v>
      </c>
      <c r="CD5" s="6" t="s">
        <v>65</v>
      </c>
      <c r="CE5" s="6" t="s">
        <v>65</v>
      </c>
      <c r="CF5" s="6" t="s">
        <v>65</v>
      </c>
      <c r="CG5" s="6" t="s">
        <v>65</v>
      </c>
      <c r="CH5" s="6" t="s">
        <v>65</v>
      </c>
      <c r="CI5" s="6" t="s">
        <v>66</v>
      </c>
      <c r="CJ5" s="6" t="s">
        <v>66</v>
      </c>
      <c r="CK5" s="6" t="s">
        <v>66</v>
      </c>
      <c r="CL5" s="6" t="s">
        <v>66</v>
      </c>
      <c r="CM5" s="6" t="s">
        <v>66</v>
      </c>
      <c r="CN5" s="6" t="s">
        <v>66</v>
      </c>
      <c r="CO5" s="6" t="s">
        <v>66</v>
      </c>
      <c r="CP5" s="6" t="s">
        <v>66</v>
      </c>
      <c r="CQ5" s="6" t="s">
        <v>66</v>
      </c>
      <c r="CR5" s="6" t="s">
        <v>66</v>
      </c>
      <c r="CS5" s="6" t="s">
        <v>66</v>
      </c>
      <c r="CT5" s="6" t="s">
        <v>66</v>
      </c>
      <c r="CU5" s="6" t="s">
        <v>66</v>
      </c>
      <c r="CV5" s="6" t="s">
        <v>66</v>
      </c>
      <c r="CW5" s="6" t="s">
        <v>66</v>
      </c>
      <c r="CX5" s="6" t="s">
        <v>66</v>
      </c>
      <c r="CY5" s="6" t="s">
        <v>66</v>
      </c>
      <c r="CZ5" s="6" t="s">
        <v>66</v>
      </c>
      <c r="DA5" s="6" t="s">
        <v>66</v>
      </c>
      <c r="DB5" s="6" t="s">
        <v>66</v>
      </c>
      <c r="DC5" s="6" t="s">
        <v>65</v>
      </c>
      <c r="DD5" s="6" t="s">
        <v>65</v>
      </c>
      <c r="DE5" s="6" t="s">
        <v>66</v>
      </c>
      <c r="DF5" s="6" t="s">
        <v>66</v>
      </c>
      <c r="DG5" s="6" t="s">
        <v>65</v>
      </c>
      <c r="DH5" s="6" t="s">
        <v>65</v>
      </c>
      <c r="DI5" s="6" t="s">
        <v>66</v>
      </c>
      <c r="DJ5" s="6" t="s">
        <v>65</v>
      </c>
      <c r="DK5" s="6" t="s">
        <v>66</v>
      </c>
      <c r="DL5" s="6" t="s">
        <v>66</v>
      </c>
      <c r="DM5" s="6" t="s">
        <v>65</v>
      </c>
      <c r="DN5" s="6" t="s">
        <v>65</v>
      </c>
      <c r="DO5" s="6" t="s">
        <v>65</v>
      </c>
    </row>
    <row r="6" spans="1:121" s="15" customFormat="1" x14ac:dyDescent="0.35">
      <c r="BF6" s="16"/>
      <c r="BG6" s="16">
        <v>201</v>
      </c>
      <c r="BH6" s="16" t="s">
        <v>129</v>
      </c>
      <c r="BI6" s="16">
        <v>15</v>
      </c>
      <c r="BJ6" s="17" t="str">
        <f>TEXT($B$2, "000")</f>
        <v>001</v>
      </c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</row>
    <row r="7" spans="1:121" s="12" customFormat="1" ht="72.5" x14ac:dyDescent="0.35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  <c r="I7" s="11" t="s">
        <v>13</v>
      </c>
      <c r="J7" s="11" t="s">
        <v>14</v>
      </c>
      <c r="K7" s="11" t="s">
        <v>15</v>
      </c>
      <c r="L7" s="11" t="s">
        <v>16</v>
      </c>
      <c r="M7" s="11" t="s">
        <v>17</v>
      </c>
      <c r="N7" s="11" t="s">
        <v>18</v>
      </c>
      <c r="O7" s="11" t="s">
        <v>19</v>
      </c>
      <c r="P7" s="11" t="s">
        <v>20</v>
      </c>
      <c r="Q7" s="11" t="s">
        <v>21</v>
      </c>
      <c r="R7" s="11" t="s">
        <v>22</v>
      </c>
      <c r="S7" s="11" t="s">
        <v>23</v>
      </c>
      <c r="T7" s="11" t="s">
        <v>24</v>
      </c>
      <c r="U7" s="11" t="s">
        <v>25</v>
      </c>
      <c r="V7" s="11" t="s">
        <v>26</v>
      </c>
      <c r="W7" s="11" t="s">
        <v>27</v>
      </c>
      <c r="X7" s="11" t="s">
        <v>28</v>
      </c>
      <c r="Y7" s="11" t="s">
        <v>29</v>
      </c>
      <c r="Z7" s="11" t="s">
        <v>30</v>
      </c>
      <c r="AA7" s="11" t="s">
        <v>31</v>
      </c>
      <c r="AB7" s="11" t="s">
        <v>32</v>
      </c>
      <c r="AC7" s="11" t="s">
        <v>33</v>
      </c>
      <c r="AD7" s="11" t="s">
        <v>34</v>
      </c>
      <c r="AE7" s="11" t="s">
        <v>35</v>
      </c>
      <c r="AF7" s="11" t="s">
        <v>36</v>
      </c>
      <c r="AG7" s="11" t="s">
        <v>37</v>
      </c>
      <c r="AH7" s="11" t="s">
        <v>38</v>
      </c>
      <c r="AI7" s="11" t="s">
        <v>39</v>
      </c>
      <c r="AJ7" s="11" t="s">
        <v>40</v>
      </c>
      <c r="AK7" s="11" t="s">
        <v>41</v>
      </c>
      <c r="AL7" s="11" t="s">
        <v>42</v>
      </c>
      <c r="AM7" s="11" t="s">
        <v>43</v>
      </c>
      <c r="AN7" s="11" t="s">
        <v>44</v>
      </c>
      <c r="AO7" s="11" t="s">
        <v>45</v>
      </c>
      <c r="AP7" s="11" t="s">
        <v>46</v>
      </c>
      <c r="AQ7" s="11" t="s">
        <v>47</v>
      </c>
      <c r="AR7" s="11" t="s">
        <v>48</v>
      </c>
      <c r="AS7" s="11" t="s">
        <v>49</v>
      </c>
      <c r="AT7" s="11" t="s">
        <v>50</v>
      </c>
      <c r="AU7" s="11" t="s">
        <v>51</v>
      </c>
      <c r="AV7" s="11" t="s">
        <v>52</v>
      </c>
      <c r="AW7" s="11" t="s">
        <v>53</v>
      </c>
      <c r="AX7" s="11" t="s">
        <v>54</v>
      </c>
      <c r="AY7" s="11" t="s">
        <v>55</v>
      </c>
      <c r="AZ7" s="11" t="s">
        <v>56</v>
      </c>
      <c r="BA7" s="11" t="s">
        <v>57</v>
      </c>
      <c r="BB7" s="11" t="s">
        <v>58</v>
      </c>
      <c r="BC7" s="11" t="s">
        <v>59</v>
      </c>
      <c r="BD7" s="11" t="s">
        <v>60</v>
      </c>
      <c r="BE7" s="11" t="s">
        <v>61</v>
      </c>
      <c r="BF7" s="14" t="s">
        <v>67</v>
      </c>
      <c r="BG7" s="14" t="s">
        <v>68</v>
      </c>
      <c r="BH7" s="14" t="s">
        <v>69</v>
      </c>
      <c r="BI7" s="14" t="s">
        <v>70</v>
      </c>
      <c r="BJ7" s="14" t="s">
        <v>71</v>
      </c>
      <c r="BK7" s="14" t="s">
        <v>72</v>
      </c>
      <c r="BL7" s="14" t="s">
        <v>73</v>
      </c>
      <c r="BM7" s="14" t="s">
        <v>74</v>
      </c>
      <c r="BN7" s="14" t="s">
        <v>75</v>
      </c>
      <c r="BO7" s="14" t="s">
        <v>76</v>
      </c>
      <c r="BP7" s="14" t="s">
        <v>77</v>
      </c>
      <c r="BQ7" s="14" t="s">
        <v>78</v>
      </c>
      <c r="BR7" s="14" t="s">
        <v>79</v>
      </c>
      <c r="BS7" s="14" t="s">
        <v>80</v>
      </c>
      <c r="BT7" s="14" t="s">
        <v>81</v>
      </c>
      <c r="BU7" s="14" t="s">
        <v>82</v>
      </c>
      <c r="BV7" s="14" t="s">
        <v>83</v>
      </c>
      <c r="BW7" s="14" t="s">
        <v>84</v>
      </c>
      <c r="BX7" s="14" t="s">
        <v>85</v>
      </c>
      <c r="BY7" s="14" t="s">
        <v>86</v>
      </c>
      <c r="BZ7" s="14" t="s">
        <v>87</v>
      </c>
      <c r="CA7" s="14" t="s">
        <v>88</v>
      </c>
      <c r="CB7" s="14" t="s">
        <v>89</v>
      </c>
      <c r="CC7" s="14" t="s">
        <v>90</v>
      </c>
      <c r="CD7" s="14" t="s">
        <v>91</v>
      </c>
      <c r="CE7" s="14" t="s">
        <v>92</v>
      </c>
      <c r="CF7" s="14" t="s">
        <v>93</v>
      </c>
      <c r="CG7" s="14" t="s">
        <v>94</v>
      </c>
      <c r="CH7" s="14" t="s">
        <v>95</v>
      </c>
      <c r="CI7" s="14" t="s">
        <v>96</v>
      </c>
      <c r="CJ7" s="14" t="s">
        <v>97</v>
      </c>
      <c r="CK7" s="14" t="s">
        <v>98</v>
      </c>
      <c r="CL7" s="14" t="s">
        <v>99</v>
      </c>
      <c r="CM7" s="14" t="s">
        <v>100</v>
      </c>
      <c r="CN7" s="14" t="s">
        <v>101</v>
      </c>
      <c r="CO7" s="14" t="s">
        <v>102</v>
      </c>
      <c r="CP7" s="14" t="s">
        <v>103</v>
      </c>
      <c r="CQ7" s="14" t="s">
        <v>104</v>
      </c>
      <c r="CR7" s="14" t="s">
        <v>105</v>
      </c>
      <c r="CS7" s="14" t="s">
        <v>106</v>
      </c>
      <c r="CT7" s="14" t="s">
        <v>107</v>
      </c>
      <c r="CU7" s="14" t="s">
        <v>108</v>
      </c>
      <c r="CV7" s="14" t="s">
        <v>109</v>
      </c>
      <c r="CW7" s="14" t="s">
        <v>110</v>
      </c>
      <c r="CX7" s="14" t="s">
        <v>111</v>
      </c>
      <c r="CY7" s="14" t="s">
        <v>112</v>
      </c>
      <c r="CZ7" s="14" t="s">
        <v>113</v>
      </c>
      <c r="DA7" s="14" t="s">
        <v>114</v>
      </c>
      <c r="DB7" s="14" t="s">
        <v>115</v>
      </c>
      <c r="DC7" s="14" t="s">
        <v>116</v>
      </c>
      <c r="DD7" s="14" t="s">
        <v>117</v>
      </c>
      <c r="DE7" s="14" t="s">
        <v>118</v>
      </c>
      <c r="DF7" s="14" t="s">
        <v>119</v>
      </c>
      <c r="DG7" s="14" t="s">
        <v>120</v>
      </c>
      <c r="DH7" s="14" t="s">
        <v>121</v>
      </c>
      <c r="DI7" s="14" t="s">
        <v>122</v>
      </c>
      <c r="DJ7" s="14" t="s">
        <v>123</v>
      </c>
      <c r="DK7" s="14" t="s">
        <v>124</v>
      </c>
      <c r="DL7" s="14" t="s">
        <v>125</v>
      </c>
      <c r="DM7" s="14" t="s">
        <v>126</v>
      </c>
      <c r="DN7" s="14" t="s">
        <v>127</v>
      </c>
      <c r="DO7" s="14" t="s">
        <v>128</v>
      </c>
      <c r="DP7" s="13" t="s">
        <v>210</v>
      </c>
      <c r="DQ7" s="13" t="s">
        <v>211</v>
      </c>
    </row>
    <row r="8" spans="1:121" x14ac:dyDescent="0.35">
      <c r="A8" s="12">
        <v>1</v>
      </c>
      <c r="B8" s="12">
        <v>154564</v>
      </c>
      <c r="C8" s="12">
        <v>1</v>
      </c>
      <c r="D8" s="12">
        <v>1</v>
      </c>
      <c r="E8" s="12" t="s">
        <v>192</v>
      </c>
      <c r="F8" s="12" t="s">
        <v>193</v>
      </c>
      <c r="G8" s="12">
        <v>2</v>
      </c>
      <c r="H8" s="12" t="s">
        <v>190</v>
      </c>
      <c r="I8" s="12" t="s">
        <v>194</v>
      </c>
      <c r="J8" s="12">
        <v>15</v>
      </c>
      <c r="K8" s="12">
        <v>500000</v>
      </c>
      <c r="L8" s="12" t="s">
        <v>195</v>
      </c>
      <c r="M8" s="12">
        <v>2</v>
      </c>
      <c r="N8" s="12" t="s">
        <v>196</v>
      </c>
      <c r="O8" s="12">
        <v>201</v>
      </c>
      <c r="P8" s="12" t="s">
        <v>197</v>
      </c>
      <c r="Q8" s="12">
        <v>2</v>
      </c>
      <c r="R8" s="12">
        <v>500.2</v>
      </c>
      <c r="S8" s="12">
        <v>100.5</v>
      </c>
      <c r="T8" s="12">
        <v>80.650000000000006</v>
      </c>
      <c r="U8" s="12">
        <v>1</v>
      </c>
      <c r="V8" s="12">
        <v>1</v>
      </c>
      <c r="W8" s="12">
        <v>1</v>
      </c>
      <c r="X8" s="12">
        <v>1</v>
      </c>
      <c r="Y8" s="12">
        <v>5</v>
      </c>
      <c r="Z8" s="12" t="s">
        <v>198</v>
      </c>
      <c r="AA8" s="12">
        <v>3057233244</v>
      </c>
      <c r="AB8" s="12" t="s">
        <v>199</v>
      </c>
      <c r="AC8" s="12" t="s">
        <v>200</v>
      </c>
      <c r="AD8" s="12"/>
      <c r="AE8" s="12">
        <v>101</v>
      </c>
      <c r="AF8" s="12">
        <v>20</v>
      </c>
      <c r="AG8" s="12">
        <v>105</v>
      </c>
      <c r="AH8" s="12" t="s">
        <v>209</v>
      </c>
      <c r="AI8" s="12" t="s">
        <v>201</v>
      </c>
      <c r="AJ8" s="12" t="s">
        <v>202</v>
      </c>
      <c r="AK8" s="12" t="s">
        <v>203</v>
      </c>
      <c r="AL8" s="24" t="s">
        <v>204</v>
      </c>
      <c r="AM8" s="22">
        <v>46127</v>
      </c>
      <c r="AN8" s="12">
        <v>5</v>
      </c>
      <c r="AO8" s="12">
        <v>5</v>
      </c>
      <c r="AP8" s="12" t="s">
        <v>205</v>
      </c>
      <c r="AQ8" s="12">
        <v>45646489</v>
      </c>
      <c r="AR8" s="22">
        <v>46058</v>
      </c>
      <c r="AS8" s="12">
        <v>85.2</v>
      </c>
      <c r="AT8" s="12">
        <v>20</v>
      </c>
      <c r="AU8" s="12" t="s">
        <v>206</v>
      </c>
      <c r="AV8" s="12" t="s">
        <v>207</v>
      </c>
      <c r="AW8" s="12">
        <v>0</v>
      </c>
      <c r="AX8" s="12">
        <v>1</v>
      </c>
      <c r="AY8" s="12">
        <v>3219715874</v>
      </c>
      <c r="AZ8" s="12">
        <v>1</v>
      </c>
      <c r="BA8" s="12" t="s">
        <v>208</v>
      </c>
      <c r="BB8" s="23" t="s">
        <v>191</v>
      </c>
      <c r="BC8" s="12">
        <v>15</v>
      </c>
      <c r="BD8" s="12">
        <v>2</v>
      </c>
      <c r="BE8" s="12">
        <v>1</v>
      </c>
      <c r="BF8" s="12" t="str">
        <f>TEXT(ROW(Table1[[#This Row],[Valida el exceso en UM adicional]])-6,REPT("0",$BF$3))</f>
        <v>0000002</v>
      </c>
      <c r="BG8" s="12" t="str">
        <f>TEXT($BG$6,REPT("0",$BG$3))</f>
        <v>0201</v>
      </c>
      <c r="BH8" s="12" t="str">
        <f>TEXT($BH$6,REPT("0",$BH$3))</f>
        <v>00</v>
      </c>
      <c r="BI8" s="12" t="str">
        <f>TEXT($BI$6,REPT("0",$BI$3))</f>
        <v>15</v>
      </c>
      <c r="BJ8" s="12" t="str">
        <f>TEXT($BJ$6,REPT("0",$BJ$3))</f>
        <v>001</v>
      </c>
      <c r="BK8" s="12">
        <f>IF(OR(_xlfn.NUMBERVALUE(Table1[[#This Row],[Indica si remplaza la información del cliente cuando este ya existe]])=1,_xlfn.NUMBERVALUE(Table1[[#This Row],[Indica si remplaza la información del cliente cuando este ya existe]])=0),_xlfn.NUMBERVALUE(Table1[[#This Row],[Indica si remplaza la información del cliente cuando este ya existe]]),0/0)</f>
        <v>1</v>
      </c>
      <c r="BL8" s="12" t="str">
        <f>_xlfn.LET(_xlpm.valor,Table1[[#This Row],[Código del cliente]], _xlpm.limpieza, TRIM(_xlpm.valor), _xlpm.long, LEN(_xlpm.limpieza), _xlpm.validacion, _xlpm.long&lt;=$BL$3, IF(_xlpm.validacion, _xlpm.limpieza&amp;REPT(" ",$BL$3-_xlpm.long), 0/0))</f>
        <v xml:space="preserve">154564         </v>
      </c>
      <c r="BM8" s="12" t="str">
        <f>_xlfn.LET(_xlpm.valor,Table1[[#This Row],[Sucursal del cliente]], _xlpm.limpieza, TRIM(_xlpm.valor), _xlpm.long, LEN(_xlpm.limpieza), _xlpm.validacion, _xlpm.long&lt;=$BM$3, IF(_xlpm.validacion, _xlpm.limpieza&amp;REPT(" ",$BM$3-_xlpm.long), 0/0))</f>
        <v xml:space="preserve">1  </v>
      </c>
      <c r="BN8" s="12">
        <f>IF(OR(_xlfn.NUMBERVALUE(Table1[[#This Row],[Estado del cliente]])=1,_xlfn.NUMBERVALUE(Table1[[#This Row],[Estado del cliente]])=0),_xlfn.NUMBERVALUE(Table1[[#This Row],[Estado del cliente]]),0/0)</f>
        <v>1</v>
      </c>
      <c r="BO8" s="12" t="str">
        <f>_xlfn.LET(_xlpm.valor,Table1[[#This Row],[Razón social del cliente]], _xlpm.limpieza, TRIM(_xlpm.valor), _xlpm.long, LEN(_xlpm.limpieza), _xlpm.validacion, _xlpm.long&lt;=$BO$3, IF(_xlpm.validacion, _xlpm.limpieza&amp;REPT(" ",$BO$3-_xlpm.long), 0/0))</f>
        <v xml:space="preserve">NUEVO                                   </v>
      </c>
      <c r="BP8" s="12" t="str">
        <f>_xlfn.LET(_xlpm.valor,Table1[[#This Row],[Moneda]], _xlpm.limpieza, TRIM(_xlpm.valor), _xlpm.long, LEN(_xlpm.limpieza), _xlpm.validacion, _xlpm.long&lt;=$BP$3, IF(_xlpm.validacion, _xlpm.limpieza&amp;REPT(" ",$BP$3-_xlpm.long), 0/0))</f>
        <v>USD</v>
      </c>
      <c r="BQ8" s="12" t="str">
        <f>_xlfn.LET(_xlpm.valor,Table1[[#This Row],[Código de vendedor]], _xlpm.limpieza, TRIM(_xlpm.valor), _xlpm.long, LEN(_xlpm.limpieza), _xlpm.validacion, _xlpm.long&lt;=$BQ$3, IF(_xlpm.validacion, _xlpm.limpieza&amp;REPT(" ",$BQ$3-_xlpm.long), 0/0))</f>
        <v xml:space="preserve">2   </v>
      </c>
      <c r="BR8" s="12" t="str">
        <f>IF(ISNUMBER(MATCH(Table1[[#This Row],[Calificación]],{"A","B","C"},0)), Table1[[#This Row],[Calificación]],0/0)</f>
        <v>A</v>
      </c>
      <c r="BS8" s="12" t="str">
        <f>_xlfn.LET(_xlpm.valor,Table1[[#This Row],[Condición de pago]], _xlpm.limpieza, TRIM(_xlpm.valor), _xlpm.long, LEN(_xlpm.limpieza), _xlpm.validacion, _xlpm.long&lt;=$BS$3, IF(_xlpm.validacion, _xlpm.limpieza&amp;REPT(" ",$BS$3-_xlpm.long), 0/0))</f>
        <v xml:space="preserve">G  </v>
      </c>
      <c r="BT8" s="12" t="str">
        <f>TEXT(ROUND(_xlfn.NUMBERVALUE(Table1[[#This Row],[Días de gracia]]),0), REPT("0",$BT$3))</f>
        <v>015</v>
      </c>
      <c r="BU8" s="12" t="str">
        <f>_xlfn.LET(_xlpm.valor, Table1[[#This Row],[Cupo de crédito]], _xlpm.numero, _xlfn.NUMBERVALUE(_xlpm.valor), _xlpm.signo, IF(_xlpm.numero&gt;=0,"+", "-"), _xlpm.formato, _xlpm.signo &amp; REPLACE(TEXT(_xlpm.numero,"000000000000000.0000"),16,1,"."), _xlpm.formato)</f>
        <v>+000000000500000.0000</v>
      </c>
      <c r="BV8" s="12" t="str">
        <f>_xlfn.LET(_xlpm.valor,Table1[[#This Row],[Código del cliente corporativo]], _xlpm.limpieza, TRIM(_xlpm.valor), _xlpm.long, LEN(_xlpm.limpieza), _xlpm.validacion, _xlpm.long&lt;=$BV$3, IF(_xlpm.validacion, _xlpm.limpieza&amp;REPT(" ",$BV$3-_xlpm.long), 0/0))</f>
        <v xml:space="preserve">LOK45          </v>
      </c>
      <c r="BW8" s="12" t="str">
        <f>_xlfn.LET(_xlpm.valor,Table1[[#This Row],[Sucursal del cliente corporativo]], _xlpm.limpieza, TRIM(_xlpm.valor), _xlpm.long, LEN(_xlpm.limpieza), _xlpm.validacion, _xlpm.long&lt;=$BW$3, IF(_xlpm.validacion, _xlpm.limpieza&amp;REPT(" ",$BW$3-_xlpm.long), 0/0))</f>
        <v xml:space="preserve">2  </v>
      </c>
      <c r="BX8" s="12" t="str">
        <f>_xlfn.LET(_xlpm.valor,Table1[[#This Row],[Tipo de cliente]], _xlpm.limpieza, TRIM(_xlpm.valor), _xlpm.long, LEN(_xlpm.limpieza), _xlpm.validacion, _xlpm.long&lt;=$BX$3, IF(_xlpm.validacion, _xlpm.limpieza&amp;REPT(" ",$BX$3-_xlpm.long), 0/0))</f>
        <v xml:space="preserve">NUE </v>
      </c>
      <c r="BY8" s="12" t="str">
        <f>_xlfn.LET(_xlpm.valor,Table1[[#This Row],[Grupo de descuento]], _xlpm.limpieza, TRIM(_xlpm.valor), _xlpm.long, LEN(_xlpm.limpieza), _xlpm.validacion, _xlpm.long&lt;=$BY$3, IF(_xlpm.validacion, _xlpm.limpieza&amp;REPT(" ",$BY$3-_xlpm.long), 0/0))</f>
        <v xml:space="preserve">201 </v>
      </c>
      <c r="BZ8" s="12" t="str">
        <f>_xlfn.LET(_xlpm.valor,Table1[[#This Row],[Lista de precios]], _xlpm.limpieza, TRIM(_xlpm.valor), _xlpm.long, LEN(_xlpm.limpieza), _xlpm.validacion, _xlpm.long&lt;=$BZ$3, IF(_xlpm.validacion, _xlpm.limpieza&amp;REPT(" ",$BZ$3-_xlpm.long), 0/0))</f>
        <v>L01</v>
      </c>
      <c r="CA8" s="12">
        <f>IF(ISNUMBER(MATCH(_xlfn.NUMBERVALUE(Table1[[#This Row],[Indicador de backorder]]),_xlfn.SEQUENCE(7,,0),0)),_xlfn.NUMBERVALUE(Table1[[#This Row],[Indicador de backorder]]))</f>
        <v>2</v>
      </c>
      <c r="CB8" s="12" t="str">
        <f>_xlfn.LET(_xlpm.valor, Table1[[#This Row],[Porcentaje para poder vender por encima de lo pedido]], _xlpm.numero, _xlfn.NUMBERVALUE(_xlpm.valor), _xlpm.maximo, AND(_xlpm.numero&gt;=0, _xlpm.numero&lt;=9999),  _xlpm.formato, IF(_xlpm.maximo, REPLACE(TEXT(_xlpm.numero,"0000.00"),5,1,"."), 0/0), _xlpm.formato)</f>
        <v>0500.20</v>
      </c>
      <c r="CC8" s="12" t="str">
        <f>_xlfn.LET(_xlpm.valor, Table1[[#This Row],[Porcentaje de margen mínimo]], _xlpm.numero, _xlfn.NUMBERVALUE(_xlpm.valor), _xlpm.maximo, AND(_xlpm.numero&gt;=0, _xlpm.numero&lt;=9999),  _xlpm.formato, IF(_xlpm.maximo, REPLACE(TEXT(_xlpm.numero,"0000.00"),5,1,"."), 0/0), _xlpm.formato)</f>
        <v>0100.50</v>
      </c>
      <c r="CD8" s="12" t="str">
        <f>_xlfn.LET(_xlpm.valor, Table1[[#This Row],[Porcentaje de margen máximo]], _xlpm.numero, _xlfn.NUMBERVALUE(_xlpm.valor), _xlpm.maximo, AND(_xlpm.numero&gt;=0, _xlpm.numero&lt;=9999),  _xlpm.formato, IF(_xlpm.maximo, REPLACE(TEXT(_xlpm.numero,"0000.00"),5,1,"."), 0/0), _xlpm.formato)</f>
        <v>0080.65</v>
      </c>
      <c r="CE8" s="12">
        <f>IF(ISNUMBER(MATCH(_xlfn.NUMBERVALUE(Table1[[#This Row],[Indicador de bloqueado]]),_xlfn.SEQUENCE(2,,0),0)),_xlfn.NUMBERVALUE(Table1[[#This Row],[Indicador de bloqueado]]))</f>
        <v>1</v>
      </c>
      <c r="CF8" s="12">
        <f>IF(ISNUMBER(MATCH(_xlfn.NUMBERVALUE(Table1[[#This Row],[Indicador de bloquea por cupo]]),_xlfn.SEQUENCE(2,,0),0)),_xlfn.NUMBERVALUE(Table1[[#This Row],[Indicador de bloquea por cupo]]))</f>
        <v>1</v>
      </c>
      <c r="CG8" s="12">
        <f>IF(ISNUMBER(MATCH(_xlfn.NUMBERVALUE(Table1[[#This Row],[Indicador de bloquea por mora]]),_xlfn.SEQUENCE(2,,0),0)),_xlfn.NUMBERVALUE(Table1[[#This Row],[Indicador de bloquea por mora]]))</f>
        <v>1</v>
      </c>
      <c r="CH8" s="12">
        <f>IF(ISNUMBER(MATCH(_xlfn.NUMBERVALUE(Table1[[#This Row],[Indicador de factura unificada]]),_xlfn.SEQUENCE(2,,0),0)),_xlfn.NUMBERVALUE(Table1[[#This Row],[Indicador de factura unificada]]))</f>
        <v>1</v>
      </c>
      <c r="CI8" s="12" t="str">
        <f>_xlfn.LET(_xlpm.valor,Table1[[#This Row],[Centro de operación por defecto para facturación]], _xlpm.limpieza, TRIM(_xlpm.valor), _xlpm.long, LEN(_xlpm.limpieza), _xlpm.validacion, _xlpm.long&lt;=$CI$3, IF(_xlpm.validacion, _xlpm.limpieza&amp;REPT(" ",$CI$3-_xlpm.long), 0/0))</f>
        <v xml:space="preserve">5  </v>
      </c>
      <c r="CJ8" s="12" t="str">
        <f>_xlfn.LET(_xlpm.valor,Table1[[#This Row],[Observaciones]], _xlpm.limpieza, TRIM(_xlpm.valor), _xlpm.long, LEN(_xlpm.limpieza), _xlpm.validacion, _xlpm.long&lt;=$CJ$3, IF(_xlpm.validacion, _xlpm.limpieza&amp;REPT(" ",$CJ$3-_xlpm.long), 0/0))</f>
        <v xml:space="preserve">ESTA ES UNA VERSION DE PRUEBA                                                                                                                                                                                                                                  </v>
      </c>
      <c r="CK8" s="12" t="str">
        <f>_xlfn.LET(_xlpm.valor,Table1[[#This Row],[Contacto]], _xlpm.limpieza, TRIM(_xlpm.valor), _xlpm.long, LEN(_xlpm.limpieza), _xlpm.validacion, _xlpm.long&lt;=$CK$3, IF(_xlpm.validacion, _xlpm.limpieza&amp;REPT(" ",$CK$3-_xlpm.long), 0/0))</f>
        <v xml:space="preserve">3057233244                                        </v>
      </c>
      <c r="CL8" s="12" t="str">
        <f>_xlfn.LET(_xlpm.valor,Table1[[#This Row],[Dirección 1]], _xlpm.limpieza, TRIM(_xlpm.valor), _xlpm.long, LEN(_xlpm.limpieza), _xlpm.validacion, _xlpm.long&lt;=$CL$3, IF(_xlpm.validacion, _xlpm.limpieza&amp;REPT(" ",$CL$3-_xlpm.long), 0/0))</f>
        <v xml:space="preserve">la direccion de paquito                 </v>
      </c>
      <c r="CM8" s="12" t="str">
        <f>_xlfn.LET(_xlpm.valor,Table1[[#This Row],[Dirección 2]], _xlpm.limpieza, TRIM(_xlpm.valor), _xlpm.long, LEN(_xlpm.limpieza), _xlpm.validacion, _xlpm.long&lt;=$CM$3, IF(_xlpm.validacion, _xlpm.limpieza&amp;REPT(" ",$CM$3-_xlpm.long), 0/0))</f>
        <v xml:space="preserve">calle 500 n 95 103                      </v>
      </c>
      <c r="CN8" s="12" t="str">
        <f>_xlfn.LET(_xlpm.valor,Table1[[#This Row],[Dirección 3]], _xlpm.limpieza, TRIM(_xlpm.valor), _xlpm.long, LEN(_xlpm.limpieza), _xlpm.validacion, _xlpm.long&lt;=$CN$3, IF(_xlpm.validacion, _xlpm.limpieza&amp;REPT(" ",$CN$3-_xlpm.long), 0/0))</f>
        <v xml:space="preserve">                                        </v>
      </c>
      <c r="CO8" s="12" t="str">
        <f>_xlfn.LET(_xlpm.valor,Table1[[#This Row],[País]], _xlpm.limpieza, TRIM(_xlpm.valor), _xlpm.long, LEN(_xlpm.limpieza), _xlpm.validacion, _xlpm.long&lt;=$CO$3, IF(_xlpm.validacion, _xlpm.limpieza&amp;REPT(" ",$CO$3-_xlpm.long), 0/0))</f>
        <v>101</v>
      </c>
      <c r="CP8" s="12" t="str">
        <f>_xlfn.LET(_xlpm.valor,Table1[[#This Row],[Departamento]], _xlpm.limpieza, TRIM(_xlpm.valor), _xlpm.long, LEN(_xlpm.limpieza), _xlpm.validacion, _xlpm.long&lt;=$CP$3, IF(_xlpm.validacion, _xlpm.limpieza&amp;REPT(" ",$CP$3-_xlpm.long), 0/0))</f>
        <v>20</v>
      </c>
      <c r="CQ8" s="12" t="str">
        <f>_xlfn.LET(_xlpm.valor,Table1[[#This Row],[Ciudad]], _xlpm.limpieza, TRIM(_xlpm.valor), _xlpm.long, LEN(_xlpm.limpieza), _xlpm.validacion, _xlpm.long&lt;=$CQ$3, IF(_xlpm.validacion, _xlpm.limpieza&amp;REPT(" ",$CQ$3-_xlpm.long), 0/0))</f>
        <v>105</v>
      </c>
      <c r="CR8" s="12" t="str">
        <f>_xlfn.LET(_xlpm.valor,Table1[[#This Row],[Barrio]], _xlpm.limpieza, TRIM(_xlpm.valor), _xlpm.long, LEN(_xlpm.limpieza), _xlpm.validacion, _xlpm.long&lt;=$CR$3, IF(_xlpm.validacion, _xlpm.limpieza&amp;REPT(" ",$CR$3-_xlpm.long), 0/0))</f>
        <v xml:space="preserve">AS45                                    </v>
      </c>
      <c r="CS8" s="12" t="str">
        <f>_xlfn.LET(_xlpm.valor,Table1[[#This Row],[Teléfono]], _xlpm.limpieza, TRIM(_xlpm.valor), _xlpm.long, LEN(_xlpm.limpieza), _xlpm.validacion, _xlpm.long&lt;=$CS$3, IF(_xlpm.validacion, _xlpm.limpieza&amp;REPT(" ",$CS$3-_xlpm.long), 0/0))</f>
        <v xml:space="preserve">658525A             </v>
      </c>
      <c r="CT8" s="12" t="str">
        <f>_xlfn.LET(_xlpm.valor,Table1[[#This Row],[Fax]], _xlpm.limpieza, TRIM(_xlpm.valor), _xlpm.long, LEN(_xlpm.limpieza), _xlpm.validacion, _xlpm.long&lt;=$CT$3, IF(_xlpm.validacion, _xlpm.limpieza&amp;REPT(" ",$CT$3-_xlpm.long), 0/0))</f>
        <v xml:space="preserve">KOK5465             </v>
      </c>
      <c r="CU8" s="12" t="str">
        <f>_xlfn.LET(_xlpm.valor,Table1[[#This Row],[Código postal]], _xlpm.limpieza, TRIM(_xlpm.valor), _xlpm.long, LEN(_xlpm.limpieza), _xlpm.validacion, _xlpm.long&lt;=$CU$3, IF(_xlpm.validacion, _xlpm.limpieza&amp;REPT(" ",$CU$3-_xlpm.long), 0/0))</f>
        <v xml:space="preserve">111510DAS </v>
      </c>
      <c r="CV8" s="12" t="str">
        <f>_xlfn.LET(_xlpm.valor,Table1[[#This Row],[Dirección de correo electrónico]], _xlpm.limpieza, TRIM(_xlpm.valor), _xlpm.long, LEN(_xlpm.limpieza), _xlpm.validacion, _xlpm.long&lt;=$CV$3, IF(_xlpm.validacion, _xlpm.limpieza&amp;REPT(" ",$CV$3-_xlpm.long), 0/0))</f>
        <v xml:space="preserve">omarto.97@gmail.com                                                                                                                                                                                                                                            </v>
      </c>
      <c r="CW8" s="12" t="str">
        <f>_xlfn.LET(_xlpm.fecha, Table1[[#This Row],[Fecha de ingreso]], _xlpm.año, YEAR(_xlpm.fecha), _xlpm.mes, MONTH(_xlpm.fecha), _xlpm.dia, DAY(_xlpm.fecha), _xlpm.validacion, AND(_xlpm.fecha&lt;&gt;"", ISNUMBER(_xlpm.fecha)), _xlpm.formatofecha, IF(_xlpm.validacion, TEXT(DATE(_xlpm.año,_xlpm.mes,_xlpm.dia), "YYYYMMDD"), 0/0), _xlpm.formatofecha)</f>
        <v>20260415</v>
      </c>
      <c r="CX8" s="12" t="str">
        <f>_xlfn.LET(_xlpm.valor,Table1[[#This Row],[Centro de operación por defecto para el movimiento de ventas.]], _xlpm.limpieza, TRIM(_xlpm.valor), _xlpm.long, LEN(_xlpm.limpieza), _xlpm.validacion, _xlpm.long&lt;=$CX$3, IF(_xlpm.validacion, _xlpm.limpieza&amp;REPT(" ",$CX$3-_xlpm.long), 0/0))</f>
        <v xml:space="preserve">5  </v>
      </c>
      <c r="CY8" s="12" t="str">
        <f>_xlfn.LET(_xlpm.valor,Table1[[#This Row],[Unidad de negocios por defecto para el movimiento de ventas.]], _xlpm.limpieza, TRIM(_xlpm.valor), _xlpm.long, LEN(_xlpm.limpieza), _xlpm.validacion, _xlpm.long&lt;=$CY$3, IF(_xlpm.validacion, _xlpm.limpieza&amp;REPT(" ",$CY$3-_xlpm.long), 0/0))</f>
        <v xml:space="preserve">5                   </v>
      </c>
      <c r="CZ8" s="12" t="str">
        <f>_xlfn.LET(_xlpm.valor,Table1[[#This Row],[Parametro EDI]], _xlpm.limpieza, TRIM(_xlpm.valor), _xlpm.long, LEN(_xlpm.limpieza), _xlpm.validacion, _xlpm.long&lt;=$CZ$3, IF(_xlpm.validacion, _xlpm.limpieza&amp;REPT(" ",$CZ$3-_xlpm.long), 0/0))</f>
        <v xml:space="preserve">F45 </v>
      </c>
      <c r="DA8" s="12" t="str">
        <f>_xlfn.LET(_xlpm.valor,Table1[[#This Row],[Código EAN]], _xlpm.limpieza, TRIM(_xlpm.valor), _xlpm.long, LEN(_xlpm.limpieza), _xlpm.validacion, _xlpm.long&lt;=$DA$3, IF(_xlpm.validacion, _xlpm.limpieza&amp;REPT(" ",$DA$3-_xlpm.long), 0/0))</f>
        <v xml:space="preserve">45646489                           </v>
      </c>
      <c r="DB8" s="12" t="str">
        <f>_xlfn.LET(_xlpm.fecha, Table1[[#This Row],[Fecha vigencia cupo]], _xlpm.año, YEAR(_xlpm.fecha), _xlpm.mes, MONTH(_xlpm.fecha), _xlpm.dia, DAY(_xlpm.fecha), _xlpm.validacion, AND(_xlpm.fecha&lt;&gt;"", ISNUMBER(_xlpm.fecha)), _xlpm.formatofecha, IF(_xlpm.validacion, TEXT(DATE(_xlpm.año,_xlpm.mes,_xlpm.dia), "YYYYMMDD"), 0/0), _xlpm.formatofecha)</f>
        <v>20260205</v>
      </c>
      <c r="DC8" s="12" t="str">
        <f>_xlfn.LET(_xlpm.valor, Table1[[#This Row],[Porcentaje de tolerancia]], _xlpm.numero, _xlfn.NUMBERVALUE(_xlpm.valor), _xlpm.maximo, AND(_xlpm.numero&gt;=0, _xlpm.numero&lt;=100),  _xlpm.formato, IF(_xlpm.maximo, REPLACE(TEXT(_xlpm.numero,"0000.00"),5,1,"."), 0/0), _xlpm.formato)</f>
        <v>0085.20</v>
      </c>
      <c r="DD8" s="12" t="str">
        <f>_xlfn.LET(_xlpm.valor, Table1[[#This Row],[Día máximo para realizar la facturación.]], _xlpm.numero, _xlfn.NUMBERVALUE(_xlpm.valor), _xlpm.maximo, AND(_xlpm.numero&gt;=0, _xlpm.numero&lt;=31),  _xlpm.formato, IF(_xlpm.maximo, TEXT(_xlpm.numero,"00"), 0/0), _xlpm.formato)</f>
        <v>20</v>
      </c>
      <c r="DE8" s="12" t="str">
        <f>_xlfn.LET(_xlpm.valor,Table1[[#This Row],[Motivo de bloqueo]], _xlpm.limpieza, TRIM(_xlpm.valor), _xlpm.long, LEN(_xlpm.limpieza), _xlpm.validacion, _xlpm.long&lt;=$DE$3, IF(_xlpm.validacion, _xlpm.limpieza&amp;REPT(" ",$DE$3-_xlpm.long), 0/0))</f>
        <v>B15</v>
      </c>
      <c r="DF8" s="12" t="str">
        <f>_xlfn.LET(_xlpm.valor,Table1[[#This Row],[Código de cobrador]], _xlpm.limpieza, TRIM(_xlpm.valor), _xlpm.long, LEN(_xlpm.limpieza), _xlpm.validacion, _xlpm.long&lt;=$DF$3, IF(_xlpm.validacion, _xlpm.limpieza&amp;REPT(" ",$DF$3-_xlpm.long), 0/0))</f>
        <v xml:space="preserve">C01 </v>
      </c>
      <c r="DG8" s="12">
        <f>IF(ISNUMBER(MATCH(_xlfn.NUMBERVALUE(Table1[[#This Row],[Indicador para compromiso con unidad de empaque principal]]),_xlfn.SEQUENCE(2,,0),0)),_xlfn.NUMBERVALUE(Table1[[#This Row],[Indicador para compromiso con unidad de empaque principal]]))</f>
        <v>0</v>
      </c>
      <c r="DH8" s="12">
        <f>IF(ISNUMBER(MATCH(_xlfn.NUMBERVALUE(Table1[[#This Row],[Indicador evalua anticipo tercero corporativo.]]),_xlfn.SEQUENCE(2,,0),0)),_xlfn.NUMBERVALUE(Table1[[#This Row],[Indicador evalua anticipo tercero corporativo.]]))</f>
        <v>1</v>
      </c>
      <c r="DI8" s="12" t="str">
        <f>_xlfn.LET(_xlpm.valor,Table1[[#This Row],[Telefono Celular]], _xlpm.limpieza, TRIM(_xlpm.valor), _xlpm.long, LEN(_xlpm.limpieza), _xlpm.validacion, _xlpm.long&lt;=$DI$3, IF(_xlpm.validacion, _xlpm.limpieza&amp;REPT(" ",$DI$3-_xlpm.long), 0/0))</f>
        <v xml:space="preserve">3219715874                                        </v>
      </c>
      <c r="DJ8" s="12">
        <f>IF(ISNUMBER(MATCH(_xlfn.NUMBERVALUE(Table1[[#This Row],[Validar cupo despacho]]),_xlfn.SEQUENCE(2,,0),0)),_xlfn.NUMBERVALUE(Table1[[#This Row],[Validar cupo despacho]]))</f>
        <v>1</v>
      </c>
      <c r="DK8" s="12" t="str">
        <f>_xlfn.LET(_xlpm.valor,Table1[[#This Row],[Porfalio edi ]], _xlpm.limpieza, TRIM(_xlpm.valor), _xlpm.long, LEN(_xlpm.limpieza), _xlpm.validacion, _xlpm.long&lt;=$DK$3, IF(_xlpm.validacion, _xlpm.limpieza&amp;REPT(" ",$DK$3-_xlpm.long), 0/0))</f>
        <v xml:space="preserve">HGH455    </v>
      </c>
      <c r="DL8" s="12" t="str" cm="1">
        <f t="array" ref="DL8">_xlfn.LET(_xlpm.frecuencia,Table1[[#This Row],[Frecuencia entrega]], _xlpm.conjunto, _xlfn.NUMBERVALUE( MID(_xlpm.frecuencia, _xlfn.SEQUENCE(LEN(_xlpm.frecuencia)),1)), _xlpm.filtro, (_xlpm.conjunto=1)*1 + (_xlpm.conjunto=0)*1, _xlpm.validacion, IF(SUM(_xlpm.filtro) = 7,_xlpm.frecuencia,0/0), _xlpm.validacion)</f>
        <v>0000000</v>
      </c>
      <c r="DM8" s="12" t="str">
        <f>_xlfn.LET(_xlpm.valor,Table1[[#This Row],[Compañía cliente corporativo]], _xlpm.limpieza, TRIM(_xlpm.valor), _xlpm.long, LEN(_xlpm.limpieza), _xlpm.validacion, AND(_xlpm.long&lt;=$DM$3, NOT(ISBLANK(Table1[[#This Row],[Código del cliente corporativo]]))), IF(_xlpm.validacion, _xlpm.limpieza&amp;REPT(" ",$DM$3-_xlpm.long), 0/0))</f>
        <v xml:space="preserve">15 </v>
      </c>
      <c r="DN8" s="12">
        <f>IF(ISNUMBER(MATCH(_xlfn.NUMBERVALUE(Table1[[#This Row],[Validar la cartera del cliente]]),_xlfn.SEQUENCE(3,,0),0)),_xlfn.NUMBERVALUE(Table1[[#This Row],[Validar la cartera del cliente]]))</f>
        <v>2</v>
      </c>
      <c r="DO8" s="12">
        <f>IF(ISNUMBER(MATCH(_xlfn.NUMBERVALUE(Table1[[#This Row],[Valida el exceso en UM adicional]]),_xlfn.SEQUENCE(2,,0),0)),_xlfn.NUMBERVALUE(Table1[[#This Row],[Valida el exceso en UM adicional]]))</f>
        <v>1</v>
      </c>
      <c r="DP8" s="12" t="str">
        <f>_xlfn.TEXTJOIN("",FALSE,Table1[[#This Row],[F_NUMERO_REG]:[f201_ind_exceso_venta_adic]])</f>
        <v>0000002020100150011154564         1  1NUEVO                                   USD2   AG  015+000000000500000.0000LOK45          2  NUE 201 L0120500.200100.500080.6511115  ESTA ES UNA VERSION DE PRUEBA                                                                                                                                                                                                                                  3057233244                                        la direccion de paquito                 calle 500 n 95 103                                                              10120105AS45                                    658525A             KOK5465             111510DAS omarto.97@gmail.com                                                                                                                                                                                                                                            202604155  5                   F45 45646489                           202602050085.2020B15C01 013219715874                                        1HGH455    000000015 21</v>
      </c>
      <c r="DQ8" s="12">
        <f>LEN(Table1[[#This Row],[CLAVE]])</f>
        <v>1118</v>
      </c>
    </row>
    <row r="9" spans="1:121" x14ac:dyDescent="0.35">
      <c r="A9" s="12">
        <v>1</v>
      </c>
      <c r="B9" s="12">
        <v>154564</v>
      </c>
      <c r="C9" s="12">
        <v>1</v>
      </c>
      <c r="D9" s="12">
        <v>1</v>
      </c>
      <c r="E9" s="12" t="s">
        <v>192</v>
      </c>
      <c r="F9" s="12" t="s">
        <v>193</v>
      </c>
      <c r="G9" s="12">
        <v>2</v>
      </c>
      <c r="H9" s="12" t="s">
        <v>190</v>
      </c>
      <c r="I9" s="12" t="s">
        <v>194</v>
      </c>
      <c r="J9" s="12">
        <v>15</v>
      </c>
      <c r="K9" s="12">
        <v>500000</v>
      </c>
      <c r="L9" s="12" t="s">
        <v>195</v>
      </c>
      <c r="M9" s="12">
        <v>2</v>
      </c>
      <c r="N9" s="12" t="s">
        <v>196</v>
      </c>
      <c r="O9" s="12">
        <v>201</v>
      </c>
      <c r="P9" s="12" t="s">
        <v>197</v>
      </c>
      <c r="Q9" s="12">
        <v>2</v>
      </c>
      <c r="R9" s="12">
        <v>500.2</v>
      </c>
      <c r="S9" s="12">
        <v>100.5</v>
      </c>
      <c r="T9" s="12">
        <v>80.650000000000006</v>
      </c>
      <c r="U9" s="12">
        <v>1</v>
      </c>
      <c r="V9" s="12">
        <v>1</v>
      </c>
      <c r="W9" s="12">
        <v>1</v>
      </c>
      <c r="X9" s="12">
        <v>1</v>
      </c>
      <c r="Y9" s="12">
        <v>5</v>
      </c>
      <c r="Z9" s="12" t="s">
        <v>198</v>
      </c>
      <c r="AA9" s="12">
        <v>3057233244</v>
      </c>
      <c r="AB9" s="12" t="s">
        <v>199</v>
      </c>
      <c r="AC9" s="12" t="s">
        <v>200</v>
      </c>
      <c r="AD9" s="12"/>
      <c r="AE9" s="12">
        <v>101</v>
      </c>
      <c r="AF9" s="12">
        <v>20</v>
      </c>
      <c r="AG9" s="12">
        <v>105</v>
      </c>
      <c r="AH9" s="12" t="s">
        <v>209</v>
      </c>
      <c r="AI9" s="12" t="s">
        <v>201</v>
      </c>
      <c r="AJ9" s="12" t="s">
        <v>202</v>
      </c>
      <c r="AK9" s="12" t="s">
        <v>203</v>
      </c>
      <c r="AL9" s="24" t="s">
        <v>204</v>
      </c>
      <c r="AM9" s="22">
        <v>46127</v>
      </c>
      <c r="AN9" s="12">
        <v>5</v>
      </c>
      <c r="AO9" s="12">
        <v>5</v>
      </c>
      <c r="AP9" s="12" t="s">
        <v>205</v>
      </c>
      <c r="AQ9" s="12">
        <v>45646489</v>
      </c>
      <c r="AR9" s="22">
        <v>46058</v>
      </c>
      <c r="AS9" s="12">
        <v>85.2</v>
      </c>
      <c r="AT9" s="12">
        <v>20</v>
      </c>
      <c r="AU9" s="12" t="s">
        <v>206</v>
      </c>
      <c r="AV9" s="12" t="s">
        <v>207</v>
      </c>
      <c r="AW9" s="12">
        <v>0</v>
      </c>
      <c r="AX9" s="12">
        <v>1</v>
      </c>
      <c r="AY9" s="12">
        <v>3219715874</v>
      </c>
      <c r="AZ9" s="12">
        <v>1</v>
      </c>
      <c r="BA9" s="12" t="s">
        <v>208</v>
      </c>
      <c r="BB9" s="23" t="s">
        <v>191</v>
      </c>
      <c r="BC9" s="12">
        <v>15</v>
      </c>
      <c r="BD9" s="12">
        <v>2</v>
      </c>
      <c r="BE9" s="12">
        <v>1</v>
      </c>
      <c r="BF9" s="12" t="str">
        <f>TEXT(ROW(Table1[[#This Row],[Valida el exceso en UM adicional]])-6,REPT("0",$BF$3))</f>
        <v>0000003</v>
      </c>
      <c r="BG9" s="12" t="str">
        <f>TEXT($BG$6,REPT("0",$BG$3))</f>
        <v>0201</v>
      </c>
      <c r="BH9" s="12" t="str">
        <f>TEXT($BH$6,REPT("0",$BH$3))</f>
        <v>00</v>
      </c>
      <c r="BI9" s="12" t="str">
        <f>TEXT($BI$6,REPT("0",$BI$3))</f>
        <v>15</v>
      </c>
      <c r="BJ9" s="12" t="str">
        <f>TEXT($BJ$6,REPT("0",$BJ$3))</f>
        <v>001</v>
      </c>
      <c r="BK9" s="12">
        <f>IF(OR(_xlfn.NUMBERVALUE(Table1[[#This Row],[Indica si remplaza la información del cliente cuando este ya existe]])=1,_xlfn.NUMBERVALUE(Table1[[#This Row],[Indica si remplaza la información del cliente cuando este ya existe]])=0),_xlfn.NUMBERVALUE(Table1[[#This Row],[Indica si remplaza la información del cliente cuando este ya existe]]),0/0)</f>
        <v>1</v>
      </c>
      <c r="BL9" s="12" t="str">
        <f>_xlfn.LET(_xlpm.valor,Table1[[#This Row],[Código del cliente]], _xlpm.limpieza, TRIM(_xlpm.valor), _xlpm.long, LEN(_xlpm.limpieza), _xlpm.validacion, _xlpm.long&lt;=$BL$3, IF(_xlpm.validacion, _xlpm.limpieza&amp;REPT(" ",$BL$3-_xlpm.long), 0/0))</f>
        <v xml:space="preserve">154564         </v>
      </c>
      <c r="BM9" s="12" t="str">
        <f>_xlfn.LET(_xlpm.valor,Table1[[#This Row],[Sucursal del cliente]], _xlpm.limpieza, TRIM(_xlpm.valor), _xlpm.long, LEN(_xlpm.limpieza), _xlpm.validacion, _xlpm.long&lt;=$BM$3, IF(_xlpm.validacion, _xlpm.limpieza&amp;REPT(" ",$BM$3-_xlpm.long), 0/0))</f>
        <v xml:space="preserve">1  </v>
      </c>
      <c r="BN9" s="12">
        <f>IF(OR(_xlfn.NUMBERVALUE(Table1[[#This Row],[Estado del cliente]])=1,_xlfn.NUMBERVALUE(Table1[[#This Row],[Estado del cliente]])=0),_xlfn.NUMBERVALUE(Table1[[#This Row],[Estado del cliente]]),0/0)</f>
        <v>1</v>
      </c>
      <c r="BO9" s="12" t="str">
        <f>_xlfn.LET(_xlpm.valor,Table1[[#This Row],[Razón social del cliente]], _xlpm.limpieza, TRIM(_xlpm.valor), _xlpm.long, LEN(_xlpm.limpieza), _xlpm.validacion, _xlpm.long&lt;=$BO$3, IF(_xlpm.validacion, _xlpm.limpieza&amp;REPT(" ",$BO$3-_xlpm.long), 0/0))</f>
        <v xml:space="preserve">NUEVO                                   </v>
      </c>
      <c r="BP9" s="12" t="str">
        <f>_xlfn.LET(_xlpm.valor,Table1[[#This Row],[Moneda]], _xlpm.limpieza, TRIM(_xlpm.valor), _xlpm.long, LEN(_xlpm.limpieza), _xlpm.validacion, _xlpm.long&lt;=$BP$3, IF(_xlpm.validacion, _xlpm.limpieza&amp;REPT(" ",$BP$3-_xlpm.long), 0/0))</f>
        <v>USD</v>
      </c>
      <c r="BQ9" s="12" t="str">
        <f>_xlfn.LET(_xlpm.valor,Table1[[#This Row],[Código de vendedor]], _xlpm.limpieza, TRIM(_xlpm.valor), _xlpm.long, LEN(_xlpm.limpieza), _xlpm.validacion, _xlpm.long&lt;=$BQ$3, IF(_xlpm.validacion, _xlpm.limpieza&amp;REPT(" ",$BQ$3-_xlpm.long), 0/0))</f>
        <v xml:space="preserve">2   </v>
      </c>
      <c r="BR9" s="12" t="str">
        <f>IF(ISNUMBER(MATCH(Table1[[#This Row],[Calificación]],{"A","B","C"},0)), Table1[[#This Row],[Calificación]],0/0)</f>
        <v>A</v>
      </c>
      <c r="BS9" s="12" t="str">
        <f>_xlfn.LET(_xlpm.valor,Table1[[#This Row],[Condición de pago]], _xlpm.limpieza, TRIM(_xlpm.valor), _xlpm.long, LEN(_xlpm.limpieza), _xlpm.validacion, _xlpm.long&lt;=$BS$3, IF(_xlpm.validacion, _xlpm.limpieza&amp;REPT(" ",$BS$3-_xlpm.long), 0/0))</f>
        <v xml:space="preserve">G  </v>
      </c>
      <c r="BT9" s="12" t="str">
        <f>TEXT(ROUND(_xlfn.NUMBERVALUE(Table1[[#This Row],[Días de gracia]]),0), REPT("0",$BT$3))</f>
        <v>015</v>
      </c>
      <c r="BU9" s="12" t="str">
        <f>_xlfn.LET(_xlpm.valor, Table1[[#This Row],[Cupo de crédito]], _xlpm.numero, _xlfn.NUMBERVALUE(_xlpm.valor), _xlpm.signo, IF(_xlpm.numero&gt;=0,"+", "-"), _xlpm.formato, _xlpm.signo &amp; REPLACE(TEXT(_xlpm.numero,"000000000000000.0000"),16,1,"."), _xlpm.formato)</f>
        <v>+000000000500000.0000</v>
      </c>
      <c r="BV9" s="12" t="str">
        <f>_xlfn.LET(_xlpm.valor,Table1[[#This Row],[Código del cliente corporativo]], _xlpm.limpieza, TRIM(_xlpm.valor), _xlpm.long, LEN(_xlpm.limpieza), _xlpm.validacion, _xlpm.long&lt;=$BV$3, IF(_xlpm.validacion, _xlpm.limpieza&amp;REPT(" ",$BV$3-_xlpm.long), 0/0))</f>
        <v xml:space="preserve">LOK45          </v>
      </c>
      <c r="BW9" s="12" t="str">
        <f>_xlfn.LET(_xlpm.valor,Table1[[#This Row],[Sucursal del cliente corporativo]], _xlpm.limpieza, TRIM(_xlpm.valor), _xlpm.long, LEN(_xlpm.limpieza), _xlpm.validacion, _xlpm.long&lt;=$BW$3, IF(_xlpm.validacion, _xlpm.limpieza&amp;REPT(" ",$BW$3-_xlpm.long), 0/0))</f>
        <v xml:space="preserve">2  </v>
      </c>
      <c r="BX9" s="12" t="str">
        <f>_xlfn.LET(_xlpm.valor,Table1[[#This Row],[Tipo de cliente]], _xlpm.limpieza, TRIM(_xlpm.valor), _xlpm.long, LEN(_xlpm.limpieza), _xlpm.validacion, _xlpm.long&lt;=$BX$3, IF(_xlpm.validacion, _xlpm.limpieza&amp;REPT(" ",$BX$3-_xlpm.long), 0/0))</f>
        <v xml:space="preserve">NUE </v>
      </c>
      <c r="BY9" s="12" t="str">
        <f>_xlfn.LET(_xlpm.valor,Table1[[#This Row],[Grupo de descuento]], _xlpm.limpieza, TRIM(_xlpm.valor), _xlpm.long, LEN(_xlpm.limpieza), _xlpm.validacion, _xlpm.long&lt;=$BY$3, IF(_xlpm.validacion, _xlpm.limpieza&amp;REPT(" ",$BY$3-_xlpm.long), 0/0))</f>
        <v xml:space="preserve">201 </v>
      </c>
      <c r="BZ9" s="12" t="str">
        <f>_xlfn.LET(_xlpm.valor,Table1[[#This Row],[Lista de precios]], _xlpm.limpieza, TRIM(_xlpm.valor), _xlpm.long, LEN(_xlpm.limpieza), _xlpm.validacion, _xlpm.long&lt;=$BZ$3, IF(_xlpm.validacion, _xlpm.limpieza&amp;REPT(" ",$BZ$3-_xlpm.long), 0/0))</f>
        <v>L01</v>
      </c>
      <c r="CA9" s="12">
        <f>IF(ISNUMBER(MATCH(_xlfn.NUMBERVALUE(Table1[[#This Row],[Indicador de backorder]]),_xlfn.SEQUENCE(7,,0),0)),_xlfn.NUMBERVALUE(Table1[[#This Row],[Indicador de backorder]]))</f>
        <v>2</v>
      </c>
      <c r="CB9" s="12" t="str">
        <f>_xlfn.LET(_xlpm.valor, Table1[[#This Row],[Porcentaje para poder vender por encima de lo pedido]], _xlpm.numero, _xlfn.NUMBERVALUE(_xlpm.valor), _xlpm.maximo, AND(_xlpm.numero&gt;=0, _xlpm.numero&lt;=9999),  _xlpm.formato, IF(_xlpm.maximo, REPLACE(TEXT(_xlpm.numero,"0000.00"),5,1,"."), 0/0), _xlpm.formato)</f>
        <v>0500.20</v>
      </c>
      <c r="CC9" s="12" t="str">
        <f>_xlfn.LET(_xlpm.valor, Table1[[#This Row],[Porcentaje de margen mínimo]], _xlpm.numero, _xlfn.NUMBERVALUE(_xlpm.valor), _xlpm.maximo, AND(_xlpm.numero&gt;=0, _xlpm.numero&lt;=9999),  _xlpm.formato, IF(_xlpm.maximo, REPLACE(TEXT(_xlpm.numero,"0000.00"),5,1,"."), 0/0), _xlpm.formato)</f>
        <v>0100.50</v>
      </c>
      <c r="CD9" s="12" t="str">
        <f>_xlfn.LET(_xlpm.valor, Table1[[#This Row],[Porcentaje de margen máximo]], _xlpm.numero, _xlfn.NUMBERVALUE(_xlpm.valor), _xlpm.maximo, AND(_xlpm.numero&gt;=0, _xlpm.numero&lt;=9999),  _xlpm.formato, IF(_xlpm.maximo, REPLACE(TEXT(_xlpm.numero,"0000.00"),5,1,"."), 0/0), _xlpm.formato)</f>
        <v>0080.65</v>
      </c>
      <c r="CE9" s="12">
        <f>IF(ISNUMBER(MATCH(_xlfn.NUMBERVALUE(Table1[[#This Row],[Indicador de bloqueado]]),_xlfn.SEQUENCE(2,,0),0)),_xlfn.NUMBERVALUE(Table1[[#This Row],[Indicador de bloqueado]]))</f>
        <v>1</v>
      </c>
      <c r="CF9" s="12">
        <f>IF(ISNUMBER(MATCH(_xlfn.NUMBERVALUE(Table1[[#This Row],[Indicador de bloquea por cupo]]),_xlfn.SEQUENCE(2,,0),0)),_xlfn.NUMBERVALUE(Table1[[#This Row],[Indicador de bloquea por cupo]]))</f>
        <v>1</v>
      </c>
      <c r="CG9" s="12">
        <f>IF(ISNUMBER(MATCH(_xlfn.NUMBERVALUE(Table1[[#This Row],[Indicador de bloquea por mora]]),_xlfn.SEQUENCE(2,,0),0)),_xlfn.NUMBERVALUE(Table1[[#This Row],[Indicador de bloquea por mora]]))</f>
        <v>1</v>
      </c>
      <c r="CH9" s="12">
        <f>IF(ISNUMBER(MATCH(_xlfn.NUMBERVALUE(Table1[[#This Row],[Indicador de factura unificada]]),_xlfn.SEQUENCE(2,,0),0)),_xlfn.NUMBERVALUE(Table1[[#This Row],[Indicador de factura unificada]]))</f>
        <v>1</v>
      </c>
      <c r="CI9" s="12" t="str">
        <f>_xlfn.LET(_xlpm.valor,Table1[[#This Row],[Centro de operación por defecto para facturación]], _xlpm.limpieza, TRIM(_xlpm.valor), _xlpm.long, LEN(_xlpm.limpieza), _xlpm.validacion, _xlpm.long&lt;=$CI$3, IF(_xlpm.validacion, _xlpm.limpieza&amp;REPT(" ",$CI$3-_xlpm.long), 0/0))</f>
        <v xml:space="preserve">5  </v>
      </c>
      <c r="CJ9" s="12" t="str">
        <f>_xlfn.LET(_xlpm.valor,Table1[[#This Row],[Observaciones]], _xlpm.limpieza, TRIM(_xlpm.valor), _xlpm.long, LEN(_xlpm.limpieza), _xlpm.validacion, _xlpm.long&lt;=$CJ$3, IF(_xlpm.validacion, _xlpm.limpieza&amp;REPT(" ",$CJ$3-_xlpm.long), 0/0))</f>
        <v xml:space="preserve">ESTA ES UNA VERSION DE PRUEBA                                                                                                                                                                                                                                  </v>
      </c>
      <c r="CK9" s="12" t="str">
        <f>_xlfn.LET(_xlpm.valor,Table1[[#This Row],[Contacto]], _xlpm.limpieza, TRIM(_xlpm.valor), _xlpm.long, LEN(_xlpm.limpieza), _xlpm.validacion, _xlpm.long&lt;=$CK$3, IF(_xlpm.validacion, _xlpm.limpieza&amp;REPT(" ",$CK$3-_xlpm.long), 0/0))</f>
        <v xml:space="preserve">3057233244                                        </v>
      </c>
      <c r="CL9" s="12" t="str">
        <f>_xlfn.LET(_xlpm.valor,Table1[[#This Row],[Dirección 1]], _xlpm.limpieza, TRIM(_xlpm.valor), _xlpm.long, LEN(_xlpm.limpieza), _xlpm.validacion, _xlpm.long&lt;=$CL$3, IF(_xlpm.validacion, _xlpm.limpieza&amp;REPT(" ",$CL$3-_xlpm.long), 0/0))</f>
        <v xml:space="preserve">la direccion de paquito                 </v>
      </c>
      <c r="CM9" s="12" t="str">
        <f>_xlfn.LET(_xlpm.valor,Table1[[#This Row],[Dirección 2]], _xlpm.limpieza, TRIM(_xlpm.valor), _xlpm.long, LEN(_xlpm.limpieza), _xlpm.validacion, _xlpm.long&lt;=$CM$3, IF(_xlpm.validacion, _xlpm.limpieza&amp;REPT(" ",$CM$3-_xlpm.long), 0/0))</f>
        <v xml:space="preserve">calle 500 n 95 103                      </v>
      </c>
      <c r="CN9" s="12" t="str">
        <f>_xlfn.LET(_xlpm.valor,Table1[[#This Row],[Dirección 3]], _xlpm.limpieza, TRIM(_xlpm.valor), _xlpm.long, LEN(_xlpm.limpieza), _xlpm.validacion, _xlpm.long&lt;=$CN$3, IF(_xlpm.validacion, _xlpm.limpieza&amp;REPT(" ",$CN$3-_xlpm.long), 0/0))</f>
        <v xml:space="preserve">                                        </v>
      </c>
      <c r="CO9" s="12" t="str">
        <f>_xlfn.LET(_xlpm.valor,Table1[[#This Row],[País]], _xlpm.limpieza, TRIM(_xlpm.valor), _xlpm.long, LEN(_xlpm.limpieza), _xlpm.validacion, _xlpm.long&lt;=$CO$3, IF(_xlpm.validacion, _xlpm.limpieza&amp;REPT(" ",$CO$3-_xlpm.long), 0/0))</f>
        <v>101</v>
      </c>
      <c r="CP9" s="12" t="str">
        <f>_xlfn.LET(_xlpm.valor,Table1[[#This Row],[Departamento]], _xlpm.limpieza, TRIM(_xlpm.valor), _xlpm.long, LEN(_xlpm.limpieza), _xlpm.validacion, _xlpm.long&lt;=$CP$3, IF(_xlpm.validacion, _xlpm.limpieza&amp;REPT(" ",$CP$3-_xlpm.long), 0/0))</f>
        <v>20</v>
      </c>
      <c r="CQ9" s="12" t="str">
        <f>_xlfn.LET(_xlpm.valor,Table1[[#This Row],[Ciudad]], _xlpm.limpieza, TRIM(_xlpm.valor), _xlpm.long, LEN(_xlpm.limpieza), _xlpm.validacion, _xlpm.long&lt;=$CQ$3, IF(_xlpm.validacion, _xlpm.limpieza&amp;REPT(" ",$CQ$3-_xlpm.long), 0/0))</f>
        <v>105</v>
      </c>
      <c r="CR9" s="12" t="str">
        <f>_xlfn.LET(_xlpm.valor,Table1[[#This Row],[Barrio]], _xlpm.limpieza, TRIM(_xlpm.valor), _xlpm.long, LEN(_xlpm.limpieza), _xlpm.validacion, _xlpm.long&lt;=$CR$3, IF(_xlpm.validacion, _xlpm.limpieza&amp;REPT(" ",$CR$3-_xlpm.long), 0/0))</f>
        <v xml:space="preserve">AS45                                    </v>
      </c>
      <c r="CS9" s="12" t="str">
        <f>_xlfn.LET(_xlpm.valor,Table1[[#This Row],[Teléfono]], _xlpm.limpieza, TRIM(_xlpm.valor), _xlpm.long, LEN(_xlpm.limpieza), _xlpm.validacion, _xlpm.long&lt;=$CS$3, IF(_xlpm.validacion, _xlpm.limpieza&amp;REPT(" ",$CS$3-_xlpm.long), 0/0))</f>
        <v xml:space="preserve">658525A             </v>
      </c>
      <c r="CT9" s="12" t="str">
        <f>_xlfn.LET(_xlpm.valor,Table1[[#This Row],[Fax]], _xlpm.limpieza, TRIM(_xlpm.valor), _xlpm.long, LEN(_xlpm.limpieza), _xlpm.validacion, _xlpm.long&lt;=$CT$3, IF(_xlpm.validacion, _xlpm.limpieza&amp;REPT(" ",$CT$3-_xlpm.long), 0/0))</f>
        <v xml:space="preserve">KOK5465             </v>
      </c>
      <c r="CU9" s="12" t="str">
        <f>_xlfn.LET(_xlpm.valor,Table1[[#This Row],[Código postal]], _xlpm.limpieza, TRIM(_xlpm.valor), _xlpm.long, LEN(_xlpm.limpieza), _xlpm.validacion, _xlpm.long&lt;=$CU$3, IF(_xlpm.validacion, _xlpm.limpieza&amp;REPT(" ",$CU$3-_xlpm.long), 0/0))</f>
        <v xml:space="preserve">111510DAS </v>
      </c>
      <c r="CV9" s="12" t="str">
        <f>_xlfn.LET(_xlpm.valor,Table1[[#This Row],[Dirección de correo electrónico]], _xlpm.limpieza, TRIM(_xlpm.valor), _xlpm.long, LEN(_xlpm.limpieza), _xlpm.validacion, _xlpm.long&lt;=$CV$3, IF(_xlpm.validacion, _xlpm.limpieza&amp;REPT(" ",$CV$3-_xlpm.long), 0/0))</f>
        <v xml:space="preserve">omarto.97@gmail.com                                                                                                                                                                                                                                            </v>
      </c>
      <c r="CW9" s="12" t="str">
        <f>_xlfn.LET(_xlpm.fecha, Table1[[#This Row],[Fecha de ingreso]], _xlpm.año, YEAR(_xlpm.fecha), _xlpm.mes, MONTH(_xlpm.fecha), _xlpm.dia, DAY(_xlpm.fecha), _xlpm.validacion, AND(_xlpm.fecha&lt;&gt;"", ISNUMBER(_xlpm.fecha)), _xlpm.formatofecha, IF(_xlpm.validacion, TEXT(DATE(_xlpm.año,_xlpm.mes,_xlpm.dia), "YYYYMMDD"), 0/0), _xlpm.formatofecha)</f>
        <v>20260415</v>
      </c>
      <c r="CX9" s="12" t="str">
        <f>_xlfn.LET(_xlpm.valor,Table1[[#This Row],[Centro de operación por defecto para el movimiento de ventas.]], _xlpm.limpieza, TRIM(_xlpm.valor), _xlpm.long, LEN(_xlpm.limpieza), _xlpm.validacion, _xlpm.long&lt;=$CX$3, IF(_xlpm.validacion, _xlpm.limpieza&amp;REPT(" ",$CX$3-_xlpm.long), 0/0))</f>
        <v xml:space="preserve">5  </v>
      </c>
      <c r="CY9" s="12" t="str">
        <f>_xlfn.LET(_xlpm.valor,Table1[[#This Row],[Unidad de negocios por defecto para el movimiento de ventas.]], _xlpm.limpieza, TRIM(_xlpm.valor), _xlpm.long, LEN(_xlpm.limpieza), _xlpm.validacion, _xlpm.long&lt;=$CY$3, IF(_xlpm.validacion, _xlpm.limpieza&amp;REPT(" ",$CY$3-_xlpm.long), 0/0))</f>
        <v xml:space="preserve">5                   </v>
      </c>
      <c r="CZ9" s="12" t="str">
        <f>_xlfn.LET(_xlpm.valor,Table1[[#This Row],[Parametro EDI]], _xlpm.limpieza, TRIM(_xlpm.valor), _xlpm.long, LEN(_xlpm.limpieza), _xlpm.validacion, _xlpm.long&lt;=$CZ$3, IF(_xlpm.validacion, _xlpm.limpieza&amp;REPT(" ",$CZ$3-_xlpm.long), 0/0))</f>
        <v xml:space="preserve">F45 </v>
      </c>
      <c r="DA9" s="12" t="str">
        <f>_xlfn.LET(_xlpm.valor,Table1[[#This Row],[Código EAN]], _xlpm.limpieza, TRIM(_xlpm.valor), _xlpm.long, LEN(_xlpm.limpieza), _xlpm.validacion, _xlpm.long&lt;=$DA$3, IF(_xlpm.validacion, _xlpm.limpieza&amp;REPT(" ",$DA$3-_xlpm.long), 0/0))</f>
        <v xml:space="preserve">45646489                           </v>
      </c>
      <c r="DB9" s="12" t="str">
        <f>_xlfn.LET(_xlpm.fecha, Table1[[#This Row],[Fecha vigencia cupo]], _xlpm.año, YEAR(_xlpm.fecha), _xlpm.mes, MONTH(_xlpm.fecha), _xlpm.dia, DAY(_xlpm.fecha), _xlpm.validacion, AND(_xlpm.fecha&lt;&gt;"", ISNUMBER(_xlpm.fecha)), _xlpm.formatofecha, IF(_xlpm.validacion, TEXT(DATE(_xlpm.año,_xlpm.mes,_xlpm.dia), "YYYYMMDD"), 0/0), _xlpm.formatofecha)</f>
        <v>20260205</v>
      </c>
      <c r="DC9" s="12" t="str">
        <f>_xlfn.LET(_xlpm.valor, Table1[[#This Row],[Porcentaje de tolerancia]], _xlpm.numero, _xlfn.NUMBERVALUE(_xlpm.valor), _xlpm.maximo, AND(_xlpm.numero&gt;=0, _xlpm.numero&lt;=100),  _xlpm.formato, IF(_xlpm.maximo, REPLACE(TEXT(_xlpm.numero,"0000.00"),5,1,"."), 0/0), _xlpm.formato)</f>
        <v>0085.20</v>
      </c>
      <c r="DD9" s="12" t="str">
        <f>_xlfn.LET(_xlpm.valor, Table1[[#This Row],[Día máximo para realizar la facturación.]], _xlpm.numero, _xlfn.NUMBERVALUE(_xlpm.valor), _xlpm.maximo, AND(_xlpm.numero&gt;=0, _xlpm.numero&lt;=31),  _xlpm.formato, IF(_xlpm.maximo, TEXT(_xlpm.numero,"00"), 0/0), _xlpm.formato)</f>
        <v>20</v>
      </c>
      <c r="DE9" s="12" t="str">
        <f>_xlfn.LET(_xlpm.valor,Table1[[#This Row],[Motivo de bloqueo]], _xlpm.limpieza, TRIM(_xlpm.valor), _xlpm.long, LEN(_xlpm.limpieza), _xlpm.validacion, _xlpm.long&lt;=$DE$3, IF(_xlpm.validacion, _xlpm.limpieza&amp;REPT(" ",$DE$3-_xlpm.long), 0/0))</f>
        <v>B15</v>
      </c>
      <c r="DF9" s="12" t="str">
        <f>_xlfn.LET(_xlpm.valor,Table1[[#This Row],[Código de cobrador]], _xlpm.limpieza, TRIM(_xlpm.valor), _xlpm.long, LEN(_xlpm.limpieza), _xlpm.validacion, _xlpm.long&lt;=$DF$3, IF(_xlpm.validacion, _xlpm.limpieza&amp;REPT(" ",$DF$3-_xlpm.long), 0/0))</f>
        <v xml:space="preserve">C01 </v>
      </c>
      <c r="DG9" s="12">
        <f>IF(ISNUMBER(MATCH(_xlfn.NUMBERVALUE(Table1[[#This Row],[Indicador para compromiso con unidad de empaque principal]]),_xlfn.SEQUENCE(2,,0),0)),_xlfn.NUMBERVALUE(Table1[[#This Row],[Indicador para compromiso con unidad de empaque principal]]))</f>
        <v>0</v>
      </c>
      <c r="DH9" s="12">
        <f>IF(ISNUMBER(MATCH(_xlfn.NUMBERVALUE(Table1[[#This Row],[Indicador evalua anticipo tercero corporativo.]]),_xlfn.SEQUENCE(2,,0),0)),_xlfn.NUMBERVALUE(Table1[[#This Row],[Indicador evalua anticipo tercero corporativo.]]))</f>
        <v>1</v>
      </c>
      <c r="DI9" s="12" t="str">
        <f>_xlfn.LET(_xlpm.valor,Table1[[#This Row],[Telefono Celular]], _xlpm.limpieza, TRIM(_xlpm.valor), _xlpm.long, LEN(_xlpm.limpieza), _xlpm.validacion, _xlpm.long&lt;=$DI$3, IF(_xlpm.validacion, _xlpm.limpieza&amp;REPT(" ",$DI$3-_xlpm.long), 0/0))</f>
        <v xml:space="preserve">3219715874                                        </v>
      </c>
      <c r="DJ9" s="12">
        <f>IF(ISNUMBER(MATCH(_xlfn.NUMBERVALUE(Table1[[#This Row],[Validar cupo despacho]]),_xlfn.SEQUENCE(2,,0),0)),_xlfn.NUMBERVALUE(Table1[[#This Row],[Validar cupo despacho]]))</f>
        <v>1</v>
      </c>
      <c r="DK9" s="12" t="str">
        <f>_xlfn.LET(_xlpm.valor,Table1[[#This Row],[Porfalio edi ]], _xlpm.limpieza, TRIM(_xlpm.valor), _xlpm.long, LEN(_xlpm.limpieza), _xlpm.validacion, _xlpm.long&lt;=$DK$3, IF(_xlpm.validacion, _xlpm.limpieza&amp;REPT(" ",$DK$3-_xlpm.long), 0/0))</f>
        <v xml:space="preserve">HGH455    </v>
      </c>
      <c r="DL9" s="12" t="str" cm="1">
        <f t="array" ref="DL9">_xlfn.LET(_xlpm.frecuencia,Table1[[#This Row],[Frecuencia entrega]], _xlpm.conjunto, _xlfn.NUMBERVALUE( MID(_xlpm.frecuencia, _xlfn.SEQUENCE(LEN(_xlpm.frecuencia)),1)), _xlpm.filtro, (_xlpm.conjunto=1)*1 + (_xlpm.conjunto=0)*1, _xlpm.validacion, IF(SUM(_xlpm.filtro) = 7,_xlpm.frecuencia,0/0), _xlpm.validacion)</f>
        <v>0000000</v>
      </c>
      <c r="DM9" s="12" t="str">
        <f>_xlfn.LET(_xlpm.valor,Table1[[#This Row],[Compañía cliente corporativo]], _xlpm.limpieza, TRIM(_xlpm.valor), _xlpm.long, LEN(_xlpm.limpieza), _xlpm.validacion, AND(_xlpm.long&lt;=$DM$3, NOT(ISBLANK(Table1[[#This Row],[Código del cliente corporativo]]))), IF(_xlpm.validacion, _xlpm.limpieza&amp;REPT(" ",$DM$3-_xlpm.long), 0/0))</f>
        <v xml:space="preserve">15 </v>
      </c>
      <c r="DN9" s="12">
        <f>IF(ISNUMBER(MATCH(_xlfn.NUMBERVALUE(Table1[[#This Row],[Validar la cartera del cliente]]),_xlfn.SEQUENCE(3,,0),0)),_xlfn.NUMBERVALUE(Table1[[#This Row],[Validar la cartera del cliente]]))</f>
        <v>2</v>
      </c>
      <c r="DO9" s="12">
        <f>IF(ISNUMBER(MATCH(_xlfn.NUMBERVALUE(Table1[[#This Row],[Valida el exceso en UM adicional]]),_xlfn.SEQUENCE(2,,0),0)),_xlfn.NUMBERVALUE(Table1[[#This Row],[Valida el exceso en UM adicional]]))</f>
        <v>1</v>
      </c>
      <c r="DP9" s="12" t="str">
        <f>_xlfn.TEXTJOIN("",FALSE,Table1[[#This Row],[F_NUMERO_REG]:[f201_ind_exceso_venta_adic]])</f>
        <v>0000003020100150011154564         1  1NUEVO                                   USD2   AG  015+000000000500000.0000LOK45          2  NUE 201 L0120500.200100.500080.6511115  ESTA ES UNA VERSION DE PRUEBA                                                                                                                                                                                                                                  3057233244                                        la direccion de paquito                 calle 500 n 95 103                                                              10120105AS45                                    658525A             KOK5465             111510DAS omarto.97@gmail.com                                                                                                                                                                                                                                            202604155  5                   F45 45646489                           202602050085.2020B15C01 013219715874                                        1HGH455    000000015 21</v>
      </c>
      <c r="DQ9" s="12">
        <f>LEN(Table1[[#This Row],[CLAVE]])</f>
        <v>1118</v>
      </c>
    </row>
    <row r="10" spans="1:121" x14ac:dyDescent="0.35">
      <c r="A10" s="12">
        <v>1</v>
      </c>
      <c r="B10" s="12">
        <v>154564</v>
      </c>
      <c r="C10" s="12">
        <v>1</v>
      </c>
      <c r="D10" s="12">
        <v>1</v>
      </c>
      <c r="E10" s="12" t="s">
        <v>192</v>
      </c>
      <c r="F10" s="12" t="s">
        <v>193</v>
      </c>
      <c r="G10" s="12">
        <v>2</v>
      </c>
      <c r="H10" s="12" t="s">
        <v>190</v>
      </c>
      <c r="I10" s="12" t="s">
        <v>194</v>
      </c>
      <c r="J10" s="12">
        <v>15</v>
      </c>
      <c r="K10" s="12">
        <v>500000</v>
      </c>
      <c r="L10" s="12" t="s">
        <v>195</v>
      </c>
      <c r="M10" s="12">
        <v>2</v>
      </c>
      <c r="N10" s="12" t="s">
        <v>196</v>
      </c>
      <c r="O10" s="12">
        <v>201</v>
      </c>
      <c r="P10" s="12" t="s">
        <v>197</v>
      </c>
      <c r="Q10" s="12">
        <v>2</v>
      </c>
      <c r="R10" s="12">
        <v>500.2</v>
      </c>
      <c r="S10" s="12">
        <v>100.5</v>
      </c>
      <c r="T10" s="12">
        <v>80.650000000000006</v>
      </c>
      <c r="U10" s="12">
        <v>1</v>
      </c>
      <c r="V10" s="12">
        <v>1</v>
      </c>
      <c r="W10" s="12">
        <v>1</v>
      </c>
      <c r="X10" s="12">
        <v>1</v>
      </c>
      <c r="Y10" s="12">
        <v>5</v>
      </c>
      <c r="Z10" s="12" t="s">
        <v>198</v>
      </c>
      <c r="AA10" s="12">
        <v>3057233244</v>
      </c>
      <c r="AB10" s="12" t="s">
        <v>199</v>
      </c>
      <c r="AC10" s="12" t="s">
        <v>200</v>
      </c>
      <c r="AD10" s="12"/>
      <c r="AE10" s="12">
        <v>101</v>
      </c>
      <c r="AF10" s="12">
        <v>20</v>
      </c>
      <c r="AG10" s="12">
        <v>105</v>
      </c>
      <c r="AH10" s="12" t="s">
        <v>209</v>
      </c>
      <c r="AI10" s="12" t="s">
        <v>201</v>
      </c>
      <c r="AJ10" s="12" t="s">
        <v>202</v>
      </c>
      <c r="AK10" s="12" t="s">
        <v>203</v>
      </c>
      <c r="AL10" s="24" t="s">
        <v>204</v>
      </c>
      <c r="AM10" s="22">
        <v>46127</v>
      </c>
      <c r="AN10" s="12">
        <v>5</v>
      </c>
      <c r="AO10" s="12">
        <v>5</v>
      </c>
      <c r="AP10" s="12" t="s">
        <v>205</v>
      </c>
      <c r="AQ10" s="12">
        <v>45646489</v>
      </c>
      <c r="AR10" s="22">
        <v>46058</v>
      </c>
      <c r="AS10" s="12">
        <v>85.2</v>
      </c>
      <c r="AT10" s="12">
        <v>20</v>
      </c>
      <c r="AU10" s="12" t="s">
        <v>206</v>
      </c>
      <c r="AV10" s="12" t="s">
        <v>207</v>
      </c>
      <c r="AW10" s="12">
        <v>0</v>
      </c>
      <c r="AX10" s="12">
        <v>1</v>
      </c>
      <c r="AY10" s="12">
        <v>3219715874</v>
      </c>
      <c r="AZ10" s="12">
        <v>1</v>
      </c>
      <c r="BA10" s="12" t="s">
        <v>208</v>
      </c>
      <c r="BB10" s="23" t="s">
        <v>191</v>
      </c>
      <c r="BC10" s="12">
        <v>15</v>
      </c>
      <c r="BD10" s="12">
        <v>2</v>
      </c>
      <c r="BE10" s="12">
        <v>1</v>
      </c>
      <c r="BF10" s="12" t="str">
        <f>TEXT(ROW(Table1[[#This Row],[Valida el exceso en UM adicional]])-6,REPT("0",$BF$3))</f>
        <v>0000004</v>
      </c>
      <c r="BG10" s="12" t="str">
        <f>TEXT($BG$6,REPT("0",$BG$3))</f>
        <v>0201</v>
      </c>
      <c r="BH10" s="12" t="str">
        <f>TEXT($BH$6,REPT("0",$BH$3))</f>
        <v>00</v>
      </c>
      <c r="BI10" s="12" t="str">
        <f>TEXT($BI$6,REPT("0",$BI$3))</f>
        <v>15</v>
      </c>
      <c r="BJ10" s="12" t="str">
        <f>TEXT($BJ$6,REPT("0",$BJ$3))</f>
        <v>001</v>
      </c>
      <c r="BK10" s="12">
        <f>IF(OR(_xlfn.NUMBERVALUE(Table1[[#This Row],[Indica si remplaza la información del cliente cuando este ya existe]])=1,_xlfn.NUMBERVALUE(Table1[[#This Row],[Indica si remplaza la información del cliente cuando este ya existe]])=0),_xlfn.NUMBERVALUE(Table1[[#This Row],[Indica si remplaza la información del cliente cuando este ya existe]]),0/0)</f>
        <v>1</v>
      </c>
      <c r="BL10" s="12" t="str">
        <f>_xlfn.LET(_xlpm.valor,Table1[[#This Row],[Código del cliente]], _xlpm.limpieza, TRIM(_xlpm.valor), _xlpm.long, LEN(_xlpm.limpieza), _xlpm.validacion, _xlpm.long&lt;=$BL$3, IF(_xlpm.validacion, _xlpm.limpieza&amp;REPT(" ",$BL$3-_xlpm.long), 0/0))</f>
        <v xml:space="preserve">154564         </v>
      </c>
      <c r="BM10" s="12" t="str">
        <f>_xlfn.LET(_xlpm.valor,Table1[[#This Row],[Sucursal del cliente]], _xlpm.limpieza, TRIM(_xlpm.valor), _xlpm.long, LEN(_xlpm.limpieza), _xlpm.validacion, _xlpm.long&lt;=$BM$3, IF(_xlpm.validacion, _xlpm.limpieza&amp;REPT(" ",$BM$3-_xlpm.long), 0/0))</f>
        <v xml:space="preserve">1  </v>
      </c>
      <c r="BN10" s="12">
        <f>IF(OR(_xlfn.NUMBERVALUE(Table1[[#This Row],[Estado del cliente]])=1,_xlfn.NUMBERVALUE(Table1[[#This Row],[Estado del cliente]])=0),_xlfn.NUMBERVALUE(Table1[[#This Row],[Estado del cliente]]),0/0)</f>
        <v>1</v>
      </c>
      <c r="BO10" s="12" t="str">
        <f>_xlfn.LET(_xlpm.valor,Table1[[#This Row],[Razón social del cliente]], _xlpm.limpieza, TRIM(_xlpm.valor), _xlpm.long, LEN(_xlpm.limpieza), _xlpm.validacion, _xlpm.long&lt;=$BO$3, IF(_xlpm.validacion, _xlpm.limpieza&amp;REPT(" ",$BO$3-_xlpm.long), 0/0))</f>
        <v xml:space="preserve">NUEVO                                   </v>
      </c>
      <c r="BP10" s="12" t="str">
        <f>_xlfn.LET(_xlpm.valor,Table1[[#This Row],[Moneda]], _xlpm.limpieza, TRIM(_xlpm.valor), _xlpm.long, LEN(_xlpm.limpieza), _xlpm.validacion, _xlpm.long&lt;=$BP$3, IF(_xlpm.validacion, _xlpm.limpieza&amp;REPT(" ",$BP$3-_xlpm.long), 0/0))</f>
        <v>USD</v>
      </c>
      <c r="BQ10" s="12" t="str">
        <f>_xlfn.LET(_xlpm.valor,Table1[[#This Row],[Código de vendedor]], _xlpm.limpieza, TRIM(_xlpm.valor), _xlpm.long, LEN(_xlpm.limpieza), _xlpm.validacion, _xlpm.long&lt;=$BQ$3, IF(_xlpm.validacion, _xlpm.limpieza&amp;REPT(" ",$BQ$3-_xlpm.long), 0/0))</f>
        <v xml:space="preserve">2   </v>
      </c>
      <c r="BR10" s="12" t="str">
        <f>IF(ISNUMBER(MATCH(Table1[[#This Row],[Calificación]],{"A","B","C"},0)), Table1[[#This Row],[Calificación]],0/0)</f>
        <v>A</v>
      </c>
      <c r="BS10" s="12" t="str">
        <f>_xlfn.LET(_xlpm.valor,Table1[[#This Row],[Condición de pago]], _xlpm.limpieza, TRIM(_xlpm.valor), _xlpm.long, LEN(_xlpm.limpieza), _xlpm.validacion, _xlpm.long&lt;=$BS$3, IF(_xlpm.validacion, _xlpm.limpieza&amp;REPT(" ",$BS$3-_xlpm.long), 0/0))</f>
        <v xml:space="preserve">G  </v>
      </c>
      <c r="BT10" s="12" t="str">
        <f>TEXT(ROUND(_xlfn.NUMBERVALUE(Table1[[#This Row],[Días de gracia]]),0), REPT("0",$BT$3))</f>
        <v>015</v>
      </c>
      <c r="BU10" s="12" t="str">
        <f>_xlfn.LET(_xlpm.valor, Table1[[#This Row],[Cupo de crédito]], _xlpm.numero, _xlfn.NUMBERVALUE(_xlpm.valor), _xlpm.signo, IF(_xlpm.numero&gt;=0,"+", "-"), _xlpm.formato, _xlpm.signo &amp; REPLACE(TEXT(_xlpm.numero,"000000000000000.0000"),16,1,"."), _xlpm.formato)</f>
        <v>+000000000500000.0000</v>
      </c>
      <c r="BV10" s="12" t="str">
        <f>_xlfn.LET(_xlpm.valor,Table1[[#This Row],[Código del cliente corporativo]], _xlpm.limpieza, TRIM(_xlpm.valor), _xlpm.long, LEN(_xlpm.limpieza), _xlpm.validacion, _xlpm.long&lt;=$BV$3, IF(_xlpm.validacion, _xlpm.limpieza&amp;REPT(" ",$BV$3-_xlpm.long), 0/0))</f>
        <v xml:space="preserve">LOK45          </v>
      </c>
      <c r="BW10" s="12" t="str">
        <f>_xlfn.LET(_xlpm.valor,Table1[[#This Row],[Sucursal del cliente corporativo]], _xlpm.limpieza, TRIM(_xlpm.valor), _xlpm.long, LEN(_xlpm.limpieza), _xlpm.validacion, _xlpm.long&lt;=$BW$3, IF(_xlpm.validacion, _xlpm.limpieza&amp;REPT(" ",$BW$3-_xlpm.long), 0/0))</f>
        <v xml:space="preserve">2  </v>
      </c>
      <c r="BX10" s="12" t="str">
        <f>_xlfn.LET(_xlpm.valor,Table1[[#This Row],[Tipo de cliente]], _xlpm.limpieza, TRIM(_xlpm.valor), _xlpm.long, LEN(_xlpm.limpieza), _xlpm.validacion, _xlpm.long&lt;=$BX$3, IF(_xlpm.validacion, _xlpm.limpieza&amp;REPT(" ",$BX$3-_xlpm.long), 0/0))</f>
        <v xml:space="preserve">NUE </v>
      </c>
      <c r="BY10" s="12" t="str">
        <f>_xlfn.LET(_xlpm.valor,Table1[[#This Row],[Grupo de descuento]], _xlpm.limpieza, TRIM(_xlpm.valor), _xlpm.long, LEN(_xlpm.limpieza), _xlpm.validacion, _xlpm.long&lt;=$BY$3, IF(_xlpm.validacion, _xlpm.limpieza&amp;REPT(" ",$BY$3-_xlpm.long), 0/0))</f>
        <v xml:space="preserve">201 </v>
      </c>
      <c r="BZ10" s="12" t="str">
        <f>_xlfn.LET(_xlpm.valor,Table1[[#This Row],[Lista de precios]], _xlpm.limpieza, TRIM(_xlpm.valor), _xlpm.long, LEN(_xlpm.limpieza), _xlpm.validacion, _xlpm.long&lt;=$BZ$3, IF(_xlpm.validacion, _xlpm.limpieza&amp;REPT(" ",$BZ$3-_xlpm.long), 0/0))</f>
        <v>L01</v>
      </c>
      <c r="CA10" s="12">
        <f>IF(ISNUMBER(MATCH(_xlfn.NUMBERVALUE(Table1[[#This Row],[Indicador de backorder]]),_xlfn.SEQUENCE(7,,0),0)),_xlfn.NUMBERVALUE(Table1[[#This Row],[Indicador de backorder]]))</f>
        <v>2</v>
      </c>
      <c r="CB10" s="12" t="str">
        <f>_xlfn.LET(_xlpm.valor, Table1[[#This Row],[Porcentaje para poder vender por encima de lo pedido]], _xlpm.numero, _xlfn.NUMBERVALUE(_xlpm.valor), _xlpm.maximo, AND(_xlpm.numero&gt;=0, _xlpm.numero&lt;=9999),  _xlpm.formato, IF(_xlpm.maximo, REPLACE(TEXT(_xlpm.numero,"0000.00"),5,1,"."), 0/0), _xlpm.formato)</f>
        <v>0500.20</v>
      </c>
      <c r="CC10" s="12" t="str">
        <f>_xlfn.LET(_xlpm.valor, Table1[[#This Row],[Porcentaje de margen mínimo]], _xlpm.numero, _xlfn.NUMBERVALUE(_xlpm.valor), _xlpm.maximo, AND(_xlpm.numero&gt;=0, _xlpm.numero&lt;=9999),  _xlpm.formato, IF(_xlpm.maximo, REPLACE(TEXT(_xlpm.numero,"0000.00"),5,1,"."), 0/0), _xlpm.formato)</f>
        <v>0100.50</v>
      </c>
      <c r="CD10" s="12" t="str">
        <f>_xlfn.LET(_xlpm.valor, Table1[[#This Row],[Porcentaje de margen máximo]], _xlpm.numero, _xlfn.NUMBERVALUE(_xlpm.valor), _xlpm.maximo, AND(_xlpm.numero&gt;=0, _xlpm.numero&lt;=9999),  _xlpm.formato, IF(_xlpm.maximo, REPLACE(TEXT(_xlpm.numero,"0000.00"),5,1,"."), 0/0), _xlpm.formato)</f>
        <v>0080.65</v>
      </c>
      <c r="CE10" s="12">
        <f>IF(ISNUMBER(MATCH(_xlfn.NUMBERVALUE(Table1[[#This Row],[Indicador de bloqueado]]),_xlfn.SEQUENCE(2,,0),0)),_xlfn.NUMBERVALUE(Table1[[#This Row],[Indicador de bloqueado]]))</f>
        <v>1</v>
      </c>
      <c r="CF10" s="12">
        <f>IF(ISNUMBER(MATCH(_xlfn.NUMBERVALUE(Table1[[#This Row],[Indicador de bloquea por cupo]]),_xlfn.SEQUENCE(2,,0),0)),_xlfn.NUMBERVALUE(Table1[[#This Row],[Indicador de bloquea por cupo]]))</f>
        <v>1</v>
      </c>
      <c r="CG10" s="12">
        <f>IF(ISNUMBER(MATCH(_xlfn.NUMBERVALUE(Table1[[#This Row],[Indicador de bloquea por mora]]),_xlfn.SEQUENCE(2,,0),0)),_xlfn.NUMBERVALUE(Table1[[#This Row],[Indicador de bloquea por mora]]))</f>
        <v>1</v>
      </c>
      <c r="CH10" s="12">
        <f>IF(ISNUMBER(MATCH(_xlfn.NUMBERVALUE(Table1[[#This Row],[Indicador de factura unificada]]),_xlfn.SEQUENCE(2,,0),0)),_xlfn.NUMBERVALUE(Table1[[#This Row],[Indicador de factura unificada]]))</f>
        <v>1</v>
      </c>
      <c r="CI10" s="12" t="str">
        <f>_xlfn.LET(_xlpm.valor,Table1[[#This Row],[Centro de operación por defecto para facturación]], _xlpm.limpieza, TRIM(_xlpm.valor), _xlpm.long, LEN(_xlpm.limpieza), _xlpm.validacion, _xlpm.long&lt;=$CI$3, IF(_xlpm.validacion, _xlpm.limpieza&amp;REPT(" ",$CI$3-_xlpm.long), 0/0))</f>
        <v xml:space="preserve">5  </v>
      </c>
      <c r="CJ10" s="12" t="str">
        <f>_xlfn.LET(_xlpm.valor,Table1[[#This Row],[Observaciones]], _xlpm.limpieza, TRIM(_xlpm.valor), _xlpm.long, LEN(_xlpm.limpieza), _xlpm.validacion, _xlpm.long&lt;=$CJ$3, IF(_xlpm.validacion, _xlpm.limpieza&amp;REPT(" ",$CJ$3-_xlpm.long), 0/0))</f>
        <v xml:space="preserve">ESTA ES UNA VERSION DE PRUEBA                                                                                                                                                                                                                                  </v>
      </c>
      <c r="CK10" s="12" t="str">
        <f>_xlfn.LET(_xlpm.valor,Table1[[#This Row],[Contacto]], _xlpm.limpieza, TRIM(_xlpm.valor), _xlpm.long, LEN(_xlpm.limpieza), _xlpm.validacion, _xlpm.long&lt;=$CK$3, IF(_xlpm.validacion, _xlpm.limpieza&amp;REPT(" ",$CK$3-_xlpm.long), 0/0))</f>
        <v xml:space="preserve">3057233244                                        </v>
      </c>
      <c r="CL10" s="12" t="str">
        <f>_xlfn.LET(_xlpm.valor,Table1[[#This Row],[Dirección 1]], _xlpm.limpieza, TRIM(_xlpm.valor), _xlpm.long, LEN(_xlpm.limpieza), _xlpm.validacion, _xlpm.long&lt;=$CL$3, IF(_xlpm.validacion, _xlpm.limpieza&amp;REPT(" ",$CL$3-_xlpm.long), 0/0))</f>
        <v xml:space="preserve">la direccion de paquito                 </v>
      </c>
      <c r="CM10" s="12" t="str">
        <f>_xlfn.LET(_xlpm.valor,Table1[[#This Row],[Dirección 2]], _xlpm.limpieza, TRIM(_xlpm.valor), _xlpm.long, LEN(_xlpm.limpieza), _xlpm.validacion, _xlpm.long&lt;=$CM$3, IF(_xlpm.validacion, _xlpm.limpieza&amp;REPT(" ",$CM$3-_xlpm.long), 0/0))</f>
        <v xml:space="preserve">calle 500 n 95 103                      </v>
      </c>
      <c r="CN10" s="12" t="str">
        <f>_xlfn.LET(_xlpm.valor,Table1[[#This Row],[Dirección 3]], _xlpm.limpieza, TRIM(_xlpm.valor), _xlpm.long, LEN(_xlpm.limpieza), _xlpm.validacion, _xlpm.long&lt;=$CN$3, IF(_xlpm.validacion, _xlpm.limpieza&amp;REPT(" ",$CN$3-_xlpm.long), 0/0))</f>
        <v xml:space="preserve">                                        </v>
      </c>
      <c r="CO10" s="12" t="str">
        <f>_xlfn.LET(_xlpm.valor,Table1[[#This Row],[País]], _xlpm.limpieza, TRIM(_xlpm.valor), _xlpm.long, LEN(_xlpm.limpieza), _xlpm.validacion, _xlpm.long&lt;=$CO$3, IF(_xlpm.validacion, _xlpm.limpieza&amp;REPT(" ",$CO$3-_xlpm.long), 0/0))</f>
        <v>101</v>
      </c>
      <c r="CP10" s="12" t="str">
        <f>_xlfn.LET(_xlpm.valor,Table1[[#This Row],[Departamento]], _xlpm.limpieza, TRIM(_xlpm.valor), _xlpm.long, LEN(_xlpm.limpieza), _xlpm.validacion, _xlpm.long&lt;=$CP$3, IF(_xlpm.validacion, _xlpm.limpieza&amp;REPT(" ",$CP$3-_xlpm.long), 0/0))</f>
        <v>20</v>
      </c>
      <c r="CQ10" s="12" t="str">
        <f>_xlfn.LET(_xlpm.valor,Table1[[#This Row],[Ciudad]], _xlpm.limpieza, TRIM(_xlpm.valor), _xlpm.long, LEN(_xlpm.limpieza), _xlpm.validacion, _xlpm.long&lt;=$CQ$3, IF(_xlpm.validacion, _xlpm.limpieza&amp;REPT(" ",$CQ$3-_xlpm.long), 0/0))</f>
        <v>105</v>
      </c>
      <c r="CR10" s="12" t="str">
        <f>_xlfn.LET(_xlpm.valor,Table1[[#This Row],[Barrio]], _xlpm.limpieza, TRIM(_xlpm.valor), _xlpm.long, LEN(_xlpm.limpieza), _xlpm.validacion, _xlpm.long&lt;=$CR$3, IF(_xlpm.validacion, _xlpm.limpieza&amp;REPT(" ",$CR$3-_xlpm.long), 0/0))</f>
        <v xml:space="preserve">AS45                                    </v>
      </c>
      <c r="CS10" s="12" t="str">
        <f>_xlfn.LET(_xlpm.valor,Table1[[#This Row],[Teléfono]], _xlpm.limpieza, TRIM(_xlpm.valor), _xlpm.long, LEN(_xlpm.limpieza), _xlpm.validacion, _xlpm.long&lt;=$CS$3, IF(_xlpm.validacion, _xlpm.limpieza&amp;REPT(" ",$CS$3-_xlpm.long), 0/0))</f>
        <v xml:space="preserve">658525A             </v>
      </c>
      <c r="CT10" s="12" t="str">
        <f>_xlfn.LET(_xlpm.valor,Table1[[#This Row],[Fax]], _xlpm.limpieza, TRIM(_xlpm.valor), _xlpm.long, LEN(_xlpm.limpieza), _xlpm.validacion, _xlpm.long&lt;=$CT$3, IF(_xlpm.validacion, _xlpm.limpieza&amp;REPT(" ",$CT$3-_xlpm.long), 0/0))</f>
        <v xml:space="preserve">KOK5465             </v>
      </c>
      <c r="CU10" s="12" t="str">
        <f>_xlfn.LET(_xlpm.valor,Table1[[#This Row],[Código postal]], _xlpm.limpieza, TRIM(_xlpm.valor), _xlpm.long, LEN(_xlpm.limpieza), _xlpm.validacion, _xlpm.long&lt;=$CU$3, IF(_xlpm.validacion, _xlpm.limpieza&amp;REPT(" ",$CU$3-_xlpm.long), 0/0))</f>
        <v xml:space="preserve">111510DAS </v>
      </c>
      <c r="CV10" s="12" t="str">
        <f>_xlfn.LET(_xlpm.valor,Table1[[#This Row],[Dirección de correo electrónico]], _xlpm.limpieza, TRIM(_xlpm.valor), _xlpm.long, LEN(_xlpm.limpieza), _xlpm.validacion, _xlpm.long&lt;=$CV$3, IF(_xlpm.validacion, _xlpm.limpieza&amp;REPT(" ",$CV$3-_xlpm.long), 0/0))</f>
        <v xml:space="preserve">omarto.97@gmail.com                                                                                                                                                                                                                                            </v>
      </c>
      <c r="CW10" s="12" t="str">
        <f>_xlfn.LET(_xlpm.fecha, Table1[[#This Row],[Fecha de ingreso]], _xlpm.año, YEAR(_xlpm.fecha), _xlpm.mes, MONTH(_xlpm.fecha), _xlpm.dia, DAY(_xlpm.fecha), _xlpm.validacion, AND(_xlpm.fecha&lt;&gt;"", ISNUMBER(_xlpm.fecha)), _xlpm.formatofecha, IF(_xlpm.validacion, TEXT(DATE(_xlpm.año,_xlpm.mes,_xlpm.dia), "YYYYMMDD"), 0/0), _xlpm.formatofecha)</f>
        <v>20260415</v>
      </c>
      <c r="CX10" s="12" t="str">
        <f>_xlfn.LET(_xlpm.valor,Table1[[#This Row],[Centro de operación por defecto para el movimiento de ventas.]], _xlpm.limpieza, TRIM(_xlpm.valor), _xlpm.long, LEN(_xlpm.limpieza), _xlpm.validacion, _xlpm.long&lt;=$CX$3, IF(_xlpm.validacion, _xlpm.limpieza&amp;REPT(" ",$CX$3-_xlpm.long), 0/0))</f>
        <v xml:space="preserve">5  </v>
      </c>
      <c r="CY10" s="12" t="str">
        <f>_xlfn.LET(_xlpm.valor,Table1[[#This Row],[Unidad de negocios por defecto para el movimiento de ventas.]], _xlpm.limpieza, TRIM(_xlpm.valor), _xlpm.long, LEN(_xlpm.limpieza), _xlpm.validacion, _xlpm.long&lt;=$CY$3, IF(_xlpm.validacion, _xlpm.limpieza&amp;REPT(" ",$CY$3-_xlpm.long), 0/0))</f>
        <v xml:space="preserve">5                   </v>
      </c>
      <c r="CZ10" s="12" t="str">
        <f>_xlfn.LET(_xlpm.valor,Table1[[#This Row],[Parametro EDI]], _xlpm.limpieza, TRIM(_xlpm.valor), _xlpm.long, LEN(_xlpm.limpieza), _xlpm.validacion, _xlpm.long&lt;=$CZ$3, IF(_xlpm.validacion, _xlpm.limpieza&amp;REPT(" ",$CZ$3-_xlpm.long), 0/0))</f>
        <v xml:space="preserve">F45 </v>
      </c>
      <c r="DA10" s="12" t="str">
        <f>_xlfn.LET(_xlpm.valor,Table1[[#This Row],[Código EAN]], _xlpm.limpieza, TRIM(_xlpm.valor), _xlpm.long, LEN(_xlpm.limpieza), _xlpm.validacion, _xlpm.long&lt;=$DA$3, IF(_xlpm.validacion, _xlpm.limpieza&amp;REPT(" ",$DA$3-_xlpm.long), 0/0))</f>
        <v xml:space="preserve">45646489                           </v>
      </c>
      <c r="DB10" s="12" t="str">
        <f>_xlfn.LET(_xlpm.fecha, Table1[[#This Row],[Fecha vigencia cupo]], _xlpm.año, YEAR(_xlpm.fecha), _xlpm.mes, MONTH(_xlpm.fecha), _xlpm.dia, DAY(_xlpm.fecha), _xlpm.validacion, AND(_xlpm.fecha&lt;&gt;"", ISNUMBER(_xlpm.fecha)), _xlpm.formatofecha, IF(_xlpm.validacion, TEXT(DATE(_xlpm.año,_xlpm.mes,_xlpm.dia), "YYYYMMDD"), 0/0), _xlpm.formatofecha)</f>
        <v>20260205</v>
      </c>
      <c r="DC10" s="12" t="str">
        <f>_xlfn.LET(_xlpm.valor, Table1[[#This Row],[Porcentaje de tolerancia]], _xlpm.numero, _xlfn.NUMBERVALUE(_xlpm.valor), _xlpm.maximo, AND(_xlpm.numero&gt;=0, _xlpm.numero&lt;=100),  _xlpm.formato, IF(_xlpm.maximo, REPLACE(TEXT(_xlpm.numero,"0000.00"),5,1,"."), 0/0), _xlpm.formato)</f>
        <v>0085.20</v>
      </c>
      <c r="DD10" s="12" t="str">
        <f>_xlfn.LET(_xlpm.valor, Table1[[#This Row],[Día máximo para realizar la facturación.]], _xlpm.numero, _xlfn.NUMBERVALUE(_xlpm.valor), _xlpm.maximo, AND(_xlpm.numero&gt;=0, _xlpm.numero&lt;=31),  _xlpm.formato, IF(_xlpm.maximo, TEXT(_xlpm.numero,"00"), 0/0), _xlpm.formato)</f>
        <v>20</v>
      </c>
      <c r="DE10" s="12" t="str">
        <f>_xlfn.LET(_xlpm.valor,Table1[[#This Row],[Motivo de bloqueo]], _xlpm.limpieza, TRIM(_xlpm.valor), _xlpm.long, LEN(_xlpm.limpieza), _xlpm.validacion, _xlpm.long&lt;=$DE$3, IF(_xlpm.validacion, _xlpm.limpieza&amp;REPT(" ",$DE$3-_xlpm.long), 0/0))</f>
        <v>B15</v>
      </c>
      <c r="DF10" s="12" t="str">
        <f>_xlfn.LET(_xlpm.valor,Table1[[#This Row],[Código de cobrador]], _xlpm.limpieza, TRIM(_xlpm.valor), _xlpm.long, LEN(_xlpm.limpieza), _xlpm.validacion, _xlpm.long&lt;=$DF$3, IF(_xlpm.validacion, _xlpm.limpieza&amp;REPT(" ",$DF$3-_xlpm.long), 0/0))</f>
        <v xml:space="preserve">C01 </v>
      </c>
      <c r="DG10" s="12">
        <f>IF(ISNUMBER(MATCH(_xlfn.NUMBERVALUE(Table1[[#This Row],[Indicador para compromiso con unidad de empaque principal]]),_xlfn.SEQUENCE(2,,0),0)),_xlfn.NUMBERVALUE(Table1[[#This Row],[Indicador para compromiso con unidad de empaque principal]]))</f>
        <v>0</v>
      </c>
      <c r="DH10" s="12">
        <f>IF(ISNUMBER(MATCH(_xlfn.NUMBERVALUE(Table1[[#This Row],[Indicador evalua anticipo tercero corporativo.]]),_xlfn.SEQUENCE(2,,0),0)),_xlfn.NUMBERVALUE(Table1[[#This Row],[Indicador evalua anticipo tercero corporativo.]]))</f>
        <v>1</v>
      </c>
      <c r="DI10" s="12" t="str">
        <f>_xlfn.LET(_xlpm.valor,Table1[[#This Row],[Telefono Celular]], _xlpm.limpieza, TRIM(_xlpm.valor), _xlpm.long, LEN(_xlpm.limpieza), _xlpm.validacion, _xlpm.long&lt;=$DI$3, IF(_xlpm.validacion, _xlpm.limpieza&amp;REPT(" ",$DI$3-_xlpm.long), 0/0))</f>
        <v xml:space="preserve">3219715874                                        </v>
      </c>
      <c r="DJ10" s="12">
        <f>IF(ISNUMBER(MATCH(_xlfn.NUMBERVALUE(Table1[[#This Row],[Validar cupo despacho]]),_xlfn.SEQUENCE(2,,0),0)),_xlfn.NUMBERVALUE(Table1[[#This Row],[Validar cupo despacho]]))</f>
        <v>1</v>
      </c>
      <c r="DK10" s="12" t="str">
        <f>_xlfn.LET(_xlpm.valor,Table1[[#This Row],[Porfalio edi ]], _xlpm.limpieza, TRIM(_xlpm.valor), _xlpm.long, LEN(_xlpm.limpieza), _xlpm.validacion, _xlpm.long&lt;=$DK$3, IF(_xlpm.validacion, _xlpm.limpieza&amp;REPT(" ",$DK$3-_xlpm.long), 0/0))</f>
        <v xml:space="preserve">HGH455    </v>
      </c>
      <c r="DL10" s="12" t="str" cm="1">
        <f t="array" ref="DL10">_xlfn.LET(_xlpm.frecuencia,Table1[[#This Row],[Frecuencia entrega]], _xlpm.conjunto, _xlfn.NUMBERVALUE( MID(_xlpm.frecuencia, _xlfn.SEQUENCE(LEN(_xlpm.frecuencia)),1)), _xlpm.filtro, (_xlpm.conjunto=1)*1 + (_xlpm.conjunto=0)*1, _xlpm.validacion, IF(SUM(_xlpm.filtro) = 7,_xlpm.frecuencia,0/0), _xlpm.validacion)</f>
        <v>0000000</v>
      </c>
      <c r="DM10" s="12" t="str">
        <f>_xlfn.LET(_xlpm.valor,Table1[[#This Row],[Compañía cliente corporativo]], _xlpm.limpieza, TRIM(_xlpm.valor), _xlpm.long, LEN(_xlpm.limpieza), _xlpm.validacion, AND(_xlpm.long&lt;=$DM$3, NOT(ISBLANK(Table1[[#This Row],[Código del cliente corporativo]]))), IF(_xlpm.validacion, _xlpm.limpieza&amp;REPT(" ",$DM$3-_xlpm.long), 0/0))</f>
        <v xml:space="preserve">15 </v>
      </c>
      <c r="DN10" s="12">
        <f>IF(ISNUMBER(MATCH(_xlfn.NUMBERVALUE(Table1[[#This Row],[Validar la cartera del cliente]]),_xlfn.SEQUENCE(3,,0),0)),_xlfn.NUMBERVALUE(Table1[[#This Row],[Validar la cartera del cliente]]))</f>
        <v>2</v>
      </c>
      <c r="DO10" s="12">
        <f>IF(ISNUMBER(MATCH(_xlfn.NUMBERVALUE(Table1[[#This Row],[Valida el exceso en UM adicional]]),_xlfn.SEQUENCE(2,,0),0)),_xlfn.NUMBERVALUE(Table1[[#This Row],[Valida el exceso en UM adicional]]))</f>
        <v>1</v>
      </c>
      <c r="DP10" s="12" t="str">
        <f>_xlfn.TEXTJOIN("",FALSE,Table1[[#This Row],[F_NUMERO_REG]:[f201_ind_exceso_venta_adic]])</f>
        <v>0000004020100150011154564         1  1NUEVO                                   USD2   AG  015+000000000500000.0000LOK45          2  NUE 201 L0120500.200100.500080.6511115  ESTA ES UNA VERSION DE PRUEBA                                                                                                                                                                                                                                  3057233244                                        la direccion de paquito                 calle 500 n 95 103                                                              10120105AS45                                    658525A             KOK5465             111510DAS omarto.97@gmail.com                                                                                                                                                                                                                                            202604155  5                   F45 45646489                           202602050085.2020B15C01 013219715874                                        1HGH455    000000015 21</v>
      </c>
      <c r="DQ10" s="12">
        <f>LEN(Table1[[#This Row],[CLAVE]])</f>
        <v>1118</v>
      </c>
    </row>
  </sheetData>
  <hyperlinks>
    <hyperlink ref="AL8" r:id="rId1" xr:uid="{AA805242-9059-4388-A051-CBFD35222C3A}"/>
    <hyperlink ref="AL9" r:id="rId2" xr:uid="{14EE1660-32F9-4679-BD09-74EEF9EEDE7A}"/>
    <hyperlink ref="AL10" r:id="rId3" xr:uid="{BE544C7C-B708-42A3-86CF-0B5806A01A69}"/>
  </hyperlinks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60F0-96AC-4363-A71D-1205FC0CC624}">
  <dimension ref="A1:BK9"/>
  <sheetViews>
    <sheetView tabSelected="1" workbookViewId="0">
      <selection activeCell="A3" sqref="A3"/>
    </sheetView>
  </sheetViews>
  <sheetFormatPr defaultRowHeight="14.5" x14ac:dyDescent="0.35"/>
  <cols>
    <col min="1" max="1" width="79.26953125" style="1" bestFit="1" customWidth="1"/>
    <col min="2" max="2" width="10.1796875" style="4" bestFit="1" customWidth="1"/>
    <col min="3" max="3" width="14" style="4" bestFit="1" customWidth="1"/>
    <col min="4" max="4" width="9.81640625" style="4" bestFit="1" customWidth="1"/>
    <col min="5" max="5" width="15.6328125" style="4" bestFit="1" customWidth="1"/>
    <col min="6" max="6" width="9.6328125" style="4" bestFit="1" customWidth="1"/>
    <col min="7" max="7" width="15.36328125" style="4" bestFit="1" customWidth="1"/>
    <col min="8" max="8" width="15.26953125" style="4" bestFit="1" customWidth="1"/>
    <col min="9" max="9" width="11.26953125" style="4" bestFit="1" customWidth="1"/>
    <col min="10" max="10" width="15.81640625" style="4" customWidth="1"/>
    <col min="11" max="11" width="14.81640625" style="4" bestFit="1" customWidth="1"/>
    <col min="12" max="12" width="7.7265625" style="4" bestFit="1" customWidth="1"/>
    <col min="13" max="13" width="9.26953125" style="4" bestFit="1" customWidth="1"/>
    <col min="14" max="14" width="11" style="4" bestFit="1" customWidth="1"/>
    <col min="15" max="15" width="15.7265625" style="4" bestFit="1" customWidth="1"/>
    <col min="16" max="16" width="13.08984375" style="4" bestFit="1" customWidth="1"/>
    <col min="17" max="17" width="14.1796875" style="4" bestFit="1" customWidth="1"/>
    <col min="18" max="18" width="15.26953125" style="4" bestFit="1" customWidth="1"/>
    <col min="19" max="19" width="11.26953125" style="4" bestFit="1" customWidth="1"/>
    <col min="20" max="20" width="13.1796875" style="4" bestFit="1" customWidth="1"/>
    <col min="21" max="21" width="9.6328125" style="4" bestFit="1" customWidth="1"/>
    <col min="22" max="22" width="14.1796875" style="4" bestFit="1" customWidth="1"/>
    <col min="23" max="23" width="11.54296875" style="4" bestFit="1" customWidth="1"/>
    <col min="24" max="24" width="15.26953125" style="4" bestFit="1" customWidth="1"/>
    <col min="25" max="25" width="14.453125" style="4" bestFit="1" customWidth="1"/>
    <col min="26" max="26" width="14.7265625" style="4" bestFit="1" customWidth="1"/>
    <col min="27" max="27" width="11.54296875" style="4" bestFit="1" customWidth="1"/>
    <col min="28" max="28" width="14.7265625" style="4" bestFit="1" customWidth="1"/>
    <col min="29" max="29" width="14.90625" style="4" bestFit="1" customWidth="1"/>
    <col min="30" max="30" width="15.54296875" style="4" bestFit="1" customWidth="1"/>
    <col min="31" max="31" width="12.90625" style="4" bestFit="1" customWidth="1"/>
    <col min="32" max="32" width="13.6328125" style="4" bestFit="1" customWidth="1"/>
    <col min="33" max="33" width="8.453125" style="4" bestFit="1" customWidth="1"/>
    <col min="34" max="36" width="10.36328125" style="4" bestFit="1" customWidth="1"/>
    <col min="37" max="37" width="4.6328125" style="4" bestFit="1" customWidth="1"/>
    <col min="38" max="38" width="13.08984375" style="4" bestFit="1" customWidth="1"/>
    <col min="39" max="39" width="6.90625" style="4" bestFit="1" customWidth="1"/>
    <col min="40" max="40" width="6.08984375" style="4" bestFit="1" customWidth="1"/>
    <col min="41" max="41" width="8.1796875" style="4" bestFit="1" customWidth="1"/>
    <col min="42" max="42" width="3.81640625" style="4" bestFit="1" customWidth="1"/>
    <col min="43" max="43" width="12.6328125" style="4" bestFit="1" customWidth="1"/>
    <col min="44" max="44" width="15.7265625" style="4" bestFit="1" customWidth="1"/>
    <col min="45" max="45" width="15.26953125" style="4" bestFit="1" customWidth="1"/>
    <col min="46" max="47" width="13.453125" style="4" bestFit="1" customWidth="1"/>
    <col min="48" max="48" width="13.08984375" style="4" bestFit="1" customWidth="1"/>
    <col min="49" max="49" width="10.6328125" style="4" bestFit="1" customWidth="1"/>
    <col min="50" max="50" width="13.453125" style="4" bestFit="1" customWidth="1"/>
    <col min="51" max="51" width="12.54296875" style="4" bestFit="1" customWidth="1"/>
    <col min="52" max="52" width="15.54296875" style="4" bestFit="1" customWidth="1"/>
    <col min="53" max="53" width="15.453125" style="4" bestFit="1" customWidth="1"/>
    <col min="54" max="54" width="9.26953125" style="4" bestFit="1" customWidth="1"/>
    <col min="55" max="55" width="15.81640625" style="4" customWidth="1"/>
    <col min="56" max="56" width="15.26953125" style="4" bestFit="1" customWidth="1"/>
    <col min="57" max="57" width="14.7265625" style="4" bestFit="1" customWidth="1"/>
    <col min="58" max="58" width="11.7265625" style="4" bestFit="1" customWidth="1"/>
    <col min="59" max="59" width="10.6328125" style="4" bestFit="1" customWidth="1"/>
    <col min="60" max="60" width="10.1796875" style="4" bestFit="1" customWidth="1"/>
    <col min="61" max="61" width="15.81640625" style="4" customWidth="1"/>
    <col min="62" max="62" width="15.6328125" style="4" bestFit="1" customWidth="1"/>
    <col min="63" max="63" width="14.7265625" style="4" bestFit="1" customWidth="1"/>
  </cols>
  <sheetData>
    <row r="1" spans="1:63" s="1" customFormat="1" x14ac:dyDescent="0.35">
      <c r="A1" s="1" t="s">
        <v>215</v>
      </c>
      <c r="B1" s="4">
        <v>1</v>
      </c>
      <c r="C1" s="1">
        <f>+B4+B1</f>
        <v>8</v>
      </c>
      <c r="D1" s="1">
        <f t="shared" ref="D1:BK1" si="0">+C4+C1</f>
        <v>12</v>
      </c>
      <c r="E1" s="1">
        <f t="shared" si="0"/>
        <v>14</v>
      </c>
      <c r="F1" s="1">
        <f t="shared" si="0"/>
        <v>16</v>
      </c>
      <c r="G1" s="1">
        <f t="shared" si="0"/>
        <v>19</v>
      </c>
      <c r="H1" s="1">
        <f t="shared" si="0"/>
        <v>20</v>
      </c>
      <c r="I1" s="1">
        <f t="shared" si="0"/>
        <v>35</v>
      </c>
      <c r="J1" s="1">
        <f t="shared" si="0"/>
        <v>38</v>
      </c>
      <c r="K1" s="1">
        <f t="shared" si="0"/>
        <v>39</v>
      </c>
      <c r="L1" s="1">
        <f t="shared" si="0"/>
        <v>79</v>
      </c>
      <c r="M1" s="1">
        <f t="shared" si="0"/>
        <v>82</v>
      </c>
      <c r="N1" s="1">
        <f t="shared" si="0"/>
        <v>86</v>
      </c>
      <c r="O1" s="1">
        <f t="shared" si="0"/>
        <v>87</v>
      </c>
      <c r="P1" s="1">
        <f t="shared" si="0"/>
        <v>90</v>
      </c>
      <c r="Q1" s="1">
        <f t="shared" si="0"/>
        <v>93</v>
      </c>
      <c r="R1" s="1">
        <f t="shared" si="0"/>
        <v>114</v>
      </c>
      <c r="S1" s="1">
        <f t="shared" si="0"/>
        <v>129</v>
      </c>
      <c r="T1" s="1">
        <f t="shared" si="0"/>
        <v>132</v>
      </c>
      <c r="U1" s="1">
        <f t="shared" si="0"/>
        <v>136</v>
      </c>
      <c r="V1" s="1">
        <f t="shared" si="0"/>
        <v>140</v>
      </c>
      <c r="W1" s="1">
        <f t="shared" si="0"/>
        <v>143</v>
      </c>
      <c r="X1" s="1">
        <f t="shared" si="0"/>
        <v>144</v>
      </c>
      <c r="Y1" s="1">
        <f t="shared" si="0"/>
        <v>151</v>
      </c>
      <c r="Z1" s="1">
        <f t="shared" si="0"/>
        <v>158</v>
      </c>
      <c r="AA1" s="1">
        <f t="shared" si="0"/>
        <v>165</v>
      </c>
      <c r="AB1" s="1">
        <f t="shared" si="0"/>
        <v>166</v>
      </c>
      <c r="AC1" s="1">
        <f t="shared" si="0"/>
        <v>167</v>
      </c>
      <c r="AD1" s="1">
        <f t="shared" si="0"/>
        <v>168</v>
      </c>
      <c r="AE1" s="1">
        <f t="shared" si="0"/>
        <v>169</v>
      </c>
      <c r="AF1" s="1">
        <f t="shared" si="0"/>
        <v>172</v>
      </c>
      <c r="AG1" s="1">
        <f t="shared" si="0"/>
        <v>427</v>
      </c>
      <c r="AH1" s="1">
        <f t="shared" si="0"/>
        <v>477</v>
      </c>
      <c r="AI1" s="1">
        <f t="shared" si="0"/>
        <v>517</v>
      </c>
      <c r="AJ1" s="1">
        <f t="shared" si="0"/>
        <v>557</v>
      </c>
      <c r="AK1" s="1">
        <f t="shared" si="0"/>
        <v>597</v>
      </c>
      <c r="AL1" s="1">
        <f t="shared" si="0"/>
        <v>600</v>
      </c>
      <c r="AM1" s="1">
        <f t="shared" si="0"/>
        <v>602</v>
      </c>
      <c r="AN1" s="1">
        <f t="shared" si="0"/>
        <v>605</v>
      </c>
      <c r="AO1" s="1">
        <f t="shared" si="0"/>
        <v>645</v>
      </c>
      <c r="AP1" s="1">
        <f t="shared" si="0"/>
        <v>665</v>
      </c>
      <c r="AQ1" s="1">
        <f t="shared" si="0"/>
        <v>685</v>
      </c>
      <c r="AR1" s="1">
        <f t="shared" si="0"/>
        <v>695</v>
      </c>
      <c r="AS1" s="1">
        <f t="shared" si="0"/>
        <v>950</v>
      </c>
      <c r="AT1" s="1">
        <f t="shared" si="0"/>
        <v>958</v>
      </c>
      <c r="AU1" s="1">
        <f t="shared" si="0"/>
        <v>961</v>
      </c>
      <c r="AV1" s="1">
        <f t="shared" si="0"/>
        <v>981</v>
      </c>
      <c r="AW1" s="1">
        <f t="shared" si="0"/>
        <v>985</v>
      </c>
      <c r="AX1" s="1">
        <f t="shared" si="0"/>
        <v>1020</v>
      </c>
      <c r="AY1" s="1">
        <f t="shared" si="0"/>
        <v>1028</v>
      </c>
      <c r="AZ1" s="1">
        <f t="shared" si="0"/>
        <v>1035</v>
      </c>
      <c r="BA1" s="1">
        <f t="shared" si="0"/>
        <v>1037</v>
      </c>
      <c r="BB1" s="1">
        <f t="shared" si="0"/>
        <v>1040</v>
      </c>
      <c r="BC1" s="1">
        <f t="shared" si="0"/>
        <v>1044</v>
      </c>
      <c r="BD1" s="1">
        <f t="shared" si="0"/>
        <v>1045</v>
      </c>
      <c r="BE1" s="1">
        <f t="shared" si="0"/>
        <v>1046</v>
      </c>
      <c r="BF1" s="1">
        <f t="shared" si="0"/>
        <v>1096</v>
      </c>
      <c r="BG1" s="1">
        <f t="shared" si="0"/>
        <v>1097</v>
      </c>
      <c r="BH1" s="1">
        <f t="shared" si="0"/>
        <v>1107</v>
      </c>
      <c r="BI1" s="1">
        <f t="shared" si="0"/>
        <v>1114</v>
      </c>
      <c r="BJ1" s="1">
        <f t="shared" si="0"/>
        <v>1117</v>
      </c>
      <c r="BK1" s="1">
        <f t="shared" si="0"/>
        <v>1118</v>
      </c>
    </row>
    <row r="2" spans="1:63" s="1" customFormat="1" x14ac:dyDescent="0.35">
      <c r="A2" s="1" t="s">
        <v>216</v>
      </c>
      <c r="B2" s="1">
        <f>B4</f>
        <v>7</v>
      </c>
      <c r="C2" s="1">
        <f t="shared" ref="C2" si="1">+B2+C4</f>
        <v>11</v>
      </c>
      <c r="D2" s="1">
        <f t="shared" ref="D2" si="2">+C2+D4</f>
        <v>13</v>
      </c>
      <c r="E2" s="1">
        <f t="shared" ref="E2" si="3">+D2+E4</f>
        <v>15</v>
      </c>
      <c r="F2" s="1">
        <f t="shared" ref="F2" si="4">+E2+F4</f>
        <v>18</v>
      </c>
      <c r="G2" s="1">
        <f t="shared" ref="G2" si="5">+F2+G4</f>
        <v>19</v>
      </c>
      <c r="H2" s="1">
        <f t="shared" ref="H2" si="6">+G2+H4</f>
        <v>34</v>
      </c>
      <c r="I2" s="1">
        <f t="shared" ref="I2" si="7">+H2+I4</f>
        <v>37</v>
      </c>
      <c r="J2" s="1">
        <f t="shared" ref="J2" si="8">+I2+J4</f>
        <v>38</v>
      </c>
      <c r="K2" s="1">
        <f t="shared" ref="K2" si="9">+J2+K4</f>
        <v>78</v>
      </c>
      <c r="L2" s="1">
        <f t="shared" ref="L2" si="10">+K2+L4</f>
        <v>81</v>
      </c>
      <c r="M2" s="1">
        <f t="shared" ref="M2" si="11">+L2+M4</f>
        <v>85</v>
      </c>
      <c r="N2" s="1">
        <f t="shared" ref="N2" si="12">+M2+N4</f>
        <v>86</v>
      </c>
      <c r="O2" s="1">
        <f t="shared" ref="O2" si="13">+N2+O4</f>
        <v>89</v>
      </c>
      <c r="P2" s="1">
        <f t="shared" ref="P2" si="14">+O2+P4</f>
        <v>92</v>
      </c>
      <c r="Q2" s="1">
        <f t="shared" ref="Q2" si="15">+P2+Q4</f>
        <v>113</v>
      </c>
      <c r="R2" s="1">
        <f t="shared" ref="R2" si="16">+Q2+R4</f>
        <v>128</v>
      </c>
      <c r="S2" s="1">
        <f t="shared" ref="S2" si="17">+R2+S4</f>
        <v>131</v>
      </c>
      <c r="T2" s="1">
        <f t="shared" ref="T2" si="18">+S2+T4</f>
        <v>135</v>
      </c>
      <c r="U2" s="1">
        <f t="shared" ref="U2" si="19">+T2+U4</f>
        <v>139</v>
      </c>
      <c r="V2" s="1">
        <f t="shared" ref="V2" si="20">+U2+V4</f>
        <v>142</v>
      </c>
      <c r="W2" s="1">
        <f t="shared" ref="W2" si="21">+V2+W4</f>
        <v>143</v>
      </c>
      <c r="X2" s="1">
        <f t="shared" ref="X2" si="22">+W2+X4</f>
        <v>150</v>
      </c>
      <c r="Y2" s="1">
        <f t="shared" ref="Y2" si="23">+X2+Y4</f>
        <v>157</v>
      </c>
      <c r="Z2" s="1">
        <f t="shared" ref="Z2" si="24">+Y2+Z4</f>
        <v>164</v>
      </c>
      <c r="AA2" s="1">
        <f t="shared" ref="AA2" si="25">+Z2+AA4</f>
        <v>165</v>
      </c>
      <c r="AB2" s="1">
        <f t="shared" ref="AB2" si="26">+AA2+AB4</f>
        <v>166</v>
      </c>
      <c r="AC2" s="1">
        <f t="shared" ref="AC2" si="27">+AB2+AC4</f>
        <v>167</v>
      </c>
      <c r="AD2" s="1">
        <f t="shared" ref="AD2" si="28">+AC2+AD4</f>
        <v>168</v>
      </c>
      <c r="AE2" s="1">
        <f t="shared" ref="AE2" si="29">+AD2+AE4</f>
        <v>171</v>
      </c>
      <c r="AF2" s="1">
        <f t="shared" ref="AF2" si="30">+AE2+AF4</f>
        <v>426</v>
      </c>
      <c r="AG2" s="1">
        <f t="shared" ref="AG2" si="31">+AF2+AG4</f>
        <v>476</v>
      </c>
      <c r="AH2" s="1">
        <f t="shared" ref="AH2" si="32">+AG2+AH4</f>
        <v>516</v>
      </c>
      <c r="AI2" s="1">
        <f t="shared" ref="AI2" si="33">+AH2+AI4</f>
        <v>556</v>
      </c>
      <c r="AJ2" s="1">
        <f t="shared" ref="AJ2" si="34">+AI2+AJ4</f>
        <v>596</v>
      </c>
      <c r="AK2" s="1">
        <f t="shared" ref="AK2" si="35">+AJ2+AK4</f>
        <v>599</v>
      </c>
      <c r="AL2" s="1">
        <f t="shared" ref="AL2" si="36">+AK2+AL4</f>
        <v>601</v>
      </c>
      <c r="AM2" s="1">
        <f t="shared" ref="AM2" si="37">+AL2+AM4</f>
        <v>604</v>
      </c>
      <c r="AN2" s="1">
        <f t="shared" ref="AN2" si="38">+AM2+AN4</f>
        <v>644</v>
      </c>
      <c r="AO2" s="1">
        <f t="shared" ref="AO2" si="39">+AN2+AO4</f>
        <v>664</v>
      </c>
      <c r="AP2" s="1">
        <f t="shared" ref="AP2" si="40">+AO2+AP4</f>
        <v>684</v>
      </c>
      <c r="AQ2" s="1">
        <f t="shared" ref="AQ2" si="41">+AP2+AQ4</f>
        <v>694</v>
      </c>
      <c r="AR2" s="1">
        <f t="shared" ref="AR2" si="42">+AQ2+AR4</f>
        <v>949</v>
      </c>
      <c r="AS2" s="1">
        <f t="shared" ref="AS2" si="43">+AR2+AS4</f>
        <v>957</v>
      </c>
      <c r="AT2" s="1">
        <f t="shared" ref="AT2" si="44">+AS2+AT4</f>
        <v>960</v>
      </c>
      <c r="AU2" s="1">
        <f t="shared" ref="AU2" si="45">+AT2+AU4</f>
        <v>980</v>
      </c>
      <c r="AV2" s="1">
        <f t="shared" ref="AV2" si="46">+AU2+AV4</f>
        <v>984</v>
      </c>
      <c r="AW2" s="1">
        <f t="shared" ref="AW2" si="47">+AV2+AW4</f>
        <v>1019</v>
      </c>
      <c r="AX2" s="1">
        <f t="shared" ref="AX2" si="48">+AW2+AX4</f>
        <v>1027</v>
      </c>
      <c r="AY2" s="1">
        <f t="shared" ref="AY2" si="49">+AX2+AY4</f>
        <v>1034</v>
      </c>
      <c r="AZ2" s="1">
        <f t="shared" ref="AZ2" si="50">+AY2+AZ4</f>
        <v>1036</v>
      </c>
      <c r="BA2" s="1">
        <f t="shared" ref="BA2" si="51">+AZ2+BA4</f>
        <v>1039</v>
      </c>
      <c r="BB2" s="1">
        <f t="shared" ref="BB2" si="52">+BA2+BB4</f>
        <v>1043</v>
      </c>
      <c r="BC2" s="1">
        <f t="shared" ref="BC2" si="53">+BB2+BC4</f>
        <v>1044</v>
      </c>
      <c r="BD2" s="1">
        <f t="shared" ref="BD2" si="54">+BC2+BD4</f>
        <v>1045</v>
      </c>
      <c r="BE2" s="1">
        <f t="shared" ref="BE2" si="55">+BD2+BE4</f>
        <v>1095</v>
      </c>
      <c r="BF2" s="1">
        <f t="shared" ref="BF2" si="56">+BE2+BF4</f>
        <v>1096</v>
      </c>
      <c r="BG2" s="1">
        <f t="shared" ref="BG2" si="57">+BF2+BG4</f>
        <v>1106</v>
      </c>
      <c r="BH2" s="1">
        <f t="shared" ref="BH2" si="58">+BG2+BH4</f>
        <v>1113</v>
      </c>
      <c r="BI2" s="1">
        <f t="shared" ref="BI2" si="59">+BH2+BI4</f>
        <v>1116</v>
      </c>
      <c r="BJ2" s="1">
        <f t="shared" ref="BJ2" si="60">+BI2+BJ4</f>
        <v>1117</v>
      </c>
      <c r="BK2" s="1">
        <f t="shared" ref="BK2" si="61">+BJ2+BK4</f>
        <v>1118</v>
      </c>
    </row>
    <row r="3" spans="1:63" s="1" customFormat="1" ht="72.5" x14ac:dyDescent="0.35"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14</v>
      </c>
      <c r="Q3" s="8" t="s">
        <v>15</v>
      </c>
      <c r="R3" s="8" t="s">
        <v>16</v>
      </c>
      <c r="S3" s="8" t="s">
        <v>17</v>
      </c>
      <c r="T3" s="8" t="s">
        <v>18</v>
      </c>
      <c r="U3" s="8" t="s">
        <v>19</v>
      </c>
      <c r="V3" s="8" t="s">
        <v>20</v>
      </c>
      <c r="W3" s="8" t="s">
        <v>21</v>
      </c>
      <c r="X3" s="8" t="s">
        <v>22</v>
      </c>
      <c r="Y3" s="8" t="s">
        <v>23</v>
      </c>
      <c r="Z3" s="8" t="s">
        <v>24</v>
      </c>
      <c r="AA3" s="8" t="s">
        <v>25</v>
      </c>
      <c r="AB3" s="8" t="s">
        <v>26</v>
      </c>
      <c r="AC3" s="8" t="s">
        <v>27</v>
      </c>
      <c r="AD3" s="8" t="s">
        <v>28</v>
      </c>
      <c r="AE3" s="8" t="s">
        <v>29</v>
      </c>
      <c r="AF3" s="8" t="s">
        <v>30</v>
      </c>
      <c r="AG3" s="8" t="s">
        <v>31</v>
      </c>
      <c r="AH3" s="8" t="s">
        <v>32</v>
      </c>
      <c r="AI3" s="8" t="s">
        <v>33</v>
      </c>
      <c r="AJ3" s="8" t="s">
        <v>34</v>
      </c>
      <c r="AK3" s="8" t="s">
        <v>35</v>
      </c>
      <c r="AL3" s="8" t="s">
        <v>36</v>
      </c>
      <c r="AM3" s="8" t="s">
        <v>37</v>
      </c>
      <c r="AN3" s="8" t="s">
        <v>38</v>
      </c>
      <c r="AO3" s="8" t="s">
        <v>39</v>
      </c>
      <c r="AP3" s="8" t="s">
        <v>40</v>
      </c>
      <c r="AQ3" s="8" t="s">
        <v>41</v>
      </c>
      <c r="AR3" s="8" t="s">
        <v>42</v>
      </c>
      <c r="AS3" s="8" t="s">
        <v>43</v>
      </c>
      <c r="AT3" s="8" t="s">
        <v>44</v>
      </c>
      <c r="AU3" s="8" t="s">
        <v>45</v>
      </c>
      <c r="AV3" s="8" t="s">
        <v>46</v>
      </c>
      <c r="AW3" s="8" t="s">
        <v>47</v>
      </c>
      <c r="AX3" s="8" t="s">
        <v>48</v>
      </c>
      <c r="AY3" s="8" t="s">
        <v>49</v>
      </c>
      <c r="AZ3" s="8" t="s">
        <v>50</v>
      </c>
      <c r="BA3" s="8" t="s">
        <v>51</v>
      </c>
      <c r="BB3" s="8" t="s">
        <v>52</v>
      </c>
      <c r="BC3" s="8" t="s">
        <v>53</v>
      </c>
      <c r="BD3" s="8" t="s">
        <v>54</v>
      </c>
      <c r="BE3" s="8" t="s">
        <v>55</v>
      </c>
      <c r="BF3" s="8" t="s">
        <v>56</v>
      </c>
      <c r="BG3" s="8" t="s">
        <v>57</v>
      </c>
      <c r="BH3" s="8" t="s">
        <v>58</v>
      </c>
      <c r="BI3" s="8" t="s">
        <v>59</v>
      </c>
      <c r="BJ3" s="8" t="s">
        <v>60</v>
      </c>
      <c r="BK3" s="8" t="s">
        <v>61</v>
      </c>
    </row>
    <row r="4" spans="1:63" x14ac:dyDescent="0.35">
      <c r="A4" t="s">
        <v>214</v>
      </c>
      <c r="B4" s="4">
        <v>7</v>
      </c>
      <c r="C4" s="4">
        <v>4</v>
      </c>
      <c r="D4" s="4">
        <v>2</v>
      </c>
      <c r="E4" s="4">
        <v>2</v>
      </c>
      <c r="F4" s="4">
        <v>3</v>
      </c>
      <c r="G4" s="4">
        <v>1</v>
      </c>
      <c r="H4" s="4">
        <v>15</v>
      </c>
      <c r="I4" s="4">
        <v>3</v>
      </c>
      <c r="J4" s="4">
        <v>1</v>
      </c>
      <c r="K4" s="4">
        <v>40</v>
      </c>
      <c r="L4" s="4">
        <v>3</v>
      </c>
      <c r="M4" s="4">
        <v>4</v>
      </c>
      <c r="N4" s="4">
        <v>1</v>
      </c>
      <c r="O4" s="4">
        <v>3</v>
      </c>
      <c r="P4" s="4">
        <v>3</v>
      </c>
      <c r="Q4" s="4">
        <v>21</v>
      </c>
      <c r="R4" s="4">
        <v>15</v>
      </c>
      <c r="S4" s="4">
        <v>3</v>
      </c>
      <c r="T4" s="4">
        <v>4</v>
      </c>
      <c r="U4" s="4">
        <v>4</v>
      </c>
      <c r="V4" s="4">
        <v>3</v>
      </c>
      <c r="W4" s="4">
        <v>1</v>
      </c>
      <c r="X4" s="4">
        <v>7</v>
      </c>
      <c r="Y4" s="4">
        <v>7</v>
      </c>
      <c r="Z4" s="4">
        <v>7</v>
      </c>
      <c r="AA4" s="4">
        <v>1</v>
      </c>
      <c r="AB4" s="4">
        <v>1</v>
      </c>
      <c r="AC4" s="4">
        <v>1</v>
      </c>
      <c r="AD4" s="4">
        <v>1</v>
      </c>
      <c r="AE4" s="4">
        <v>3</v>
      </c>
      <c r="AF4" s="4">
        <v>255</v>
      </c>
      <c r="AG4" s="4">
        <v>50</v>
      </c>
      <c r="AH4" s="4">
        <v>40</v>
      </c>
      <c r="AI4" s="4">
        <v>40</v>
      </c>
      <c r="AJ4" s="4">
        <v>40</v>
      </c>
      <c r="AK4" s="4">
        <v>3</v>
      </c>
      <c r="AL4" s="4">
        <v>2</v>
      </c>
      <c r="AM4" s="4">
        <v>3</v>
      </c>
      <c r="AN4" s="4">
        <v>40</v>
      </c>
      <c r="AO4" s="4">
        <v>20</v>
      </c>
      <c r="AP4" s="4">
        <v>20</v>
      </c>
      <c r="AQ4" s="4">
        <v>10</v>
      </c>
      <c r="AR4" s="4">
        <v>255</v>
      </c>
      <c r="AS4" s="4">
        <v>8</v>
      </c>
      <c r="AT4" s="4">
        <v>3</v>
      </c>
      <c r="AU4" s="4">
        <v>20</v>
      </c>
      <c r="AV4" s="4">
        <v>4</v>
      </c>
      <c r="AW4" s="4">
        <v>35</v>
      </c>
      <c r="AX4" s="4">
        <v>8</v>
      </c>
      <c r="AY4" s="4">
        <v>7</v>
      </c>
      <c r="AZ4" s="4">
        <v>2</v>
      </c>
      <c r="BA4" s="4">
        <v>3</v>
      </c>
      <c r="BB4" s="4">
        <v>4</v>
      </c>
      <c r="BC4" s="4">
        <v>1</v>
      </c>
      <c r="BD4" s="4">
        <v>1</v>
      </c>
      <c r="BE4" s="4">
        <v>50</v>
      </c>
      <c r="BF4" s="4">
        <v>1</v>
      </c>
      <c r="BG4" s="4">
        <v>10</v>
      </c>
      <c r="BH4" s="4">
        <v>7</v>
      </c>
      <c r="BI4" s="4">
        <v>3</v>
      </c>
      <c r="BJ4" s="4">
        <v>1</v>
      </c>
      <c r="BK4" s="4">
        <v>1</v>
      </c>
    </row>
    <row r="5" spans="1:63" s="7" customFormat="1" x14ac:dyDescent="0.35">
      <c r="A5" s="25" t="s">
        <v>212</v>
      </c>
      <c r="B5" s="7" t="str" cm="1">
        <f t="array" ref="B5:B9">MID(Table1_1[CONVERSION PLANO],1,7)</f>
        <v>0000001</v>
      </c>
      <c r="C5" s="7" t="str" cm="1">
        <f t="array" ref="C5:C9">MID(Table1_1[CONVERSION PLANO],SUM($B$4:B$4)+1,C$4)</f>
        <v>0000</v>
      </c>
      <c r="D5" s="7" t="str" cm="1">
        <f t="array" ref="D5:D9">MID(Table1_1[CONVERSION PLANO],SUM($B$4:C$4)+1,D$4)</f>
        <v>00</v>
      </c>
      <c r="E5" s="7" t="str" cm="1">
        <f t="array" ref="E5:E9">MID(Table1_1[CONVERSION PLANO],SUM($B$4:D$4)+1,E$4)</f>
        <v>01</v>
      </c>
      <c r="F5" s="7" t="str" cm="1">
        <f t="array" ref="F5:F9">MID(Table1_1[CONVERSION PLANO],SUM($B$4:E$4)+1,F$4)</f>
        <v>001</v>
      </c>
      <c r="G5" s="7" t="str" cm="1">
        <f t="array" ref="G5:G9">MID(Table1_1[CONVERSION PLANO],SUM($B$4:F$4)+1,G$4)</f>
        <v/>
      </c>
      <c r="H5" s="7" t="str" cm="1">
        <f t="array" ref="H5:H9">MID(Table1_1[CONVERSION PLANO],SUM($B$4:G$4)+1,H$4)</f>
        <v/>
      </c>
      <c r="I5" s="7" t="str" cm="1">
        <f t="array" ref="I5:I9">MID(Table1_1[CONVERSION PLANO],SUM($B$4:H$4)+1,I$4)</f>
        <v/>
      </c>
      <c r="J5" s="7" t="str" cm="1">
        <f t="array" ref="J5:J9">MID(Table1_1[CONVERSION PLANO],SUM($B$4:I$4)+1,J$4)</f>
        <v/>
      </c>
      <c r="K5" s="7" t="str" cm="1">
        <f t="array" ref="K5:K9">MID(Table1_1[CONVERSION PLANO],SUM($B$4:J$4)+1,K$4)</f>
        <v/>
      </c>
      <c r="L5" s="7" t="str" cm="1">
        <f t="array" ref="L5:L9">MID(Table1_1[CONVERSION PLANO],SUM($B$4:K$4)+1,L$4)</f>
        <v/>
      </c>
      <c r="M5" s="7" t="str" cm="1">
        <f t="array" ref="M5:M9">MID(Table1_1[CONVERSION PLANO],SUM($B$4:L$4)+1,M$4)</f>
        <v/>
      </c>
      <c r="N5" s="7" t="str" cm="1">
        <f t="array" ref="N5:N9">MID(Table1_1[CONVERSION PLANO],SUM($B$4:M$4)+1,N$4)</f>
        <v/>
      </c>
      <c r="O5" s="7" t="str" cm="1">
        <f t="array" ref="O5:O9">MID(Table1_1[CONVERSION PLANO],SUM($B$4:N$4)+1,O$4)</f>
        <v/>
      </c>
      <c r="P5" s="7" t="str" cm="1">
        <f t="array" ref="P5:P9">MID(Table1_1[CONVERSION PLANO],SUM($B$4:O$4)+1,P$4)</f>
        <v/>
      </c>
      <c r="Q5" s="7" t="str" cm="1">
        <f t="array" ref="Q5:Q9">MID(Table1_1[CONVERSION PLANO],SUM($B$4:P$4)+1,Q$4)</f>
        <v/>
      </c>
      <c r="R5" s="7" t="str" cm="1">
        <f t="array" ref="R5:R9">MID(Table1_1[CONVERSION PLANO],SUM($B$4:Q$4)+1,R$4)</f>
        <v/>
      </c>
      <c r="S5" s="7" t="str" cm="1">
        <f t="array" ref="S5:S9">MID(Table1_1[CONVERSION PLANO],SUM($B$4:R$4)+1,S$4)</f>
        <v/>
      </c>
      <c r="T5" s="7" t="str" cm="1">
        <f t="array" ref="T5:T9">MID(Table1_1[CONVERSION PLANO],SUM($B$4:S$4)+1,T$4)</f>
        <v/>
      </c>
      <c r="U5" s="7" t="str" cm="1">
        <f t="array" ref="U5:U9">MID(Table1_1[CONVERSION PLANO],SUM($B$4:T$4)+1,U$4)</f>
        <v/>
      </c>
      <c r="V5" s="7" t="str" cm="1">
        <f t="array" ref="V5:V9">MID(Table1_1[CONVERSION PLANO],SUM($B$4:U$4)+1,V$4)</f>
        <v/>
      </c>
      <c r="W5" s="7" t="str" cm="1">
        <f t="array" ref="W5:W9">MID(Table1_1[CONVERSION PLANO],SUM($B$4:V$4)+1,W$4)</f>
        <v/>
      </c>
      <c r="X5" s="7" t="str" cm="1">
        <f t="array" ref="X5:X9">MID(Table1_1[CONVERSION PLANO],SUM($B$4:W$4)+1,X$4)</f>
        <v/>
      </c>
      <c r="Y5" s="7" t="str" cm="1">
        <f t="array" ref="Y5:Y9">MID(Table1_1[CONVERSION PLANO],SUM($B$4:X$4)+1,Y$4)</f>
        <v/>
      </c>
      <c r="Z5" s="7" t="str" cm="1">
        <f t="array" ref="Z5:Z9">MID(Table1_1[CONVERSION PLANO],SUM($B$4:Y$4)+1,Z$4)</f>
        <v/>
      </c>
      <c r="AA5" s="7" t="str" cm="1">
        <f t="array" ref="AA5:AA9">MID(Table1_1[CONVERSION PLANO],SUM($B$4:Z$4)+1,AA$4)</f>
        <v/>
      </c>
      <c r="AB5" s="7" t="str" cm="1">
        <f t="array" ref="AB5:AB9">MID(Table1_1[CONVERSION PLANO],SUM($B$4:AA$4)+1,AB$4)</f>
        <v/>
      </c>
      <c r="AC5" s="7" t="str" cm="1">
        <f t="array" ref="AC5:AC9">MID(Table1_1[CONVERSION PLANO],SUM($B$4:AB$4)+1,AC$4)</f>
        <v/>
      </c>
      <c r="AD5" s="7" t="str" cm="1">
        <f t="array" ref="AD5:AD9">MID(Table1_1[CONVERSION PLANO],SUM($B$4:AC$4)+1,AD$4)</f>
        <v/>
      </c>
      <c r="AE5" s="7" t="str" cm="1">
        <f t="array" ref="AE5:AE9">MID(Table1_1[CONVERSION PLANO],SUM($B$4:AD$4)+1,AE$4)</f>
        <v/>
      </c>
      <c r="AF5" s="7" t="str" cm="1">
        <f t="array" ref="AF5:AF9">MID(Table1_1[CONVERSION PLANO],SUM($B$4:AE$4)+1,AF$4)</f>
        <v/>
      </c>
      <c r="AG5" s="7" t="str" cm="1">
        <f t="array" ref="AG5:AG9">MID(Table1_1[CONVERSION PLANO],SUM($B$4:AF$4)+1,AG$4)</f>
        <v/>
      </c>
      <c r="AH5" s="7" t="str" cm="1">
        <f t="array" ref="AH5:AH9">MID(Table1_1[CONVERSION PLANO],SUM($B$4:AG$4)+1,AH$4)</f>
        <v/>
      </c>
      <c r="AI5" s="7" t="str" cm="1">
        <f t="array" ref="AI5:AI9">MID(Table1_1[CONVERSION PLANO],SUM($B$4:AH$4)+1,AI$4)</f>
        <v/>
      </c>
      <c r="AJ5" s="7" t="str" cm="1">
        <f t="array" ref="AJ5:AJ9">MID(Table1_1[CONVERSION PLANO],SUM($B$4:AI$4)+1,AJ$4)</f>
        <v/>
      </c>
      <c r="AK5" s="7" t="str" cm="1">
        <f t="array" ref="AK5:AK9">MID(Table1_1[CONVERSION PLANO],SUM($B$4:AJ$4)+1,AK$4)</f>
        <v/>
      </c>
      <c r="AL5" s="7" t="str" cm="1">
        <f t="array" ref="AL5:AL9">MID(Table1_1[CONVERSION PLANO],SUM($B$4:AK$4)+1,AL$4)</f>
        <v/>
      </c>
      <c r="AM5" s="7" t="str" cm="1">
        <f t="array" ref="AM5:AM9">MID(Table1_1[CONVERSION PLANO],SUM($B$4:AL$4)+1,AM$4)</f>
        <v/>
      </c>
      <c r="AN5" s="7" t="str" cm="1">
        <f t="array" ref="AN5:AN9">MID(Table1_1[CONVERSION PLANO],SUM($B$4:AM$4)+1,AN$4)</f>
        <v/>
      </c>
      <c r="AO5" s="7" t="str" cm="1">
        <f t="array" ref="AO5:AO9">MID(Table1_1[CONVERSION PLANO],SUM($B$4:AN$4)+1,AO$4)</f>
        <v/>
      </c>
      <c r="AP5" s="7" t="str" cm="1">
        <f t="array" ref="AP5:AP9">MID(Table1_1[CONVERSION PLANO],SUM($B$4:AO$4)+1,AP$4)</f>
        <v/>
      </c>
      <c r="AQ5" s="7" t="str" cm="1">
        <f t="array" ref="AQ5:AQ9">MID(Table1_1[CONVERSION PLANO],SUM($B$4:AP$4)+1,AQ$4)</f>
        <v/>
      </c>
      <c r="AR5" s="7" t="str" cm="1">
        <f t="array" ref="AR5:AR9">MID(Table1_1[CONVERSION PLANO],SUM($B$4:AQ$4)+1,AR$4)</f>
        <v/>
      </c>
      <c r="AS5" s="7" t="str" cm="1">
        <f t="array" ref="AS5:AS9">MID(Table1_1[CONVERSION PLANO],SUM($B$4:AR$4)+1,AS$4)</f>
        <v/>
      </c>
      <c r="AT5" s="7" t="str" cm="1">
        <f t="array" ref="AT5:AT9">MID(Table1_1[CONVERSION PLANO],SUM($B$4:AS$4)+1,AT$4)</f>
        <v/>
      </c>
      <c r="AU5" s="7" t="str" cm="1">
        <f t="array" ref="AU5:AU9">MID(Table1_1[CONVERSION PLANO],SUM($B$4:AT$4)+1,AU$4)</f>
        <v/>
      </c>
      <c r="AV5" s="7" t="str" cm="1">
        <f t="array" ref="AV5:AV9">MID(Table1_1[CONVERSION PLANO],SUM($B$4:AU$4)+1,AV$4)</f>
        <v/>
      </c>
      <c r="AW5" s="7" t="str" cm="1">
        <f t="array" ref="AW5:AW9">MID(Table1_1[CONVERSION PLANO],SUM($B$4:AV$4)+1,AW$4)</f>
        <v/>
      </c>
      <c r="AX5" s="7" t="str" cm="1">
        <f t="array" ref="AX5:AX9">MID(Table1_1[CONVERSION PLANO],SUM($B$4:AW$4)+1,AX$4)</f>
        <v/>
      </c>
      <c r="AY5" s="7" t="str" cm="1">
        <f t="array" ref="AY5:AY9">MID(Table1_1[CONVERSION PLANO],SUM($B$4:AX$4)+1,AY$4)</f>
        <v/>
      </c>
      <c r="AZ5" s="7" t="str" cm="1">
        <f t="array" ref="AZ5:AZ9">MID(Table1_1[CONVERSION PLANO],SUM($B$4:AY$4)+1,AZ$4)</f>
        <v/>
      </c>
      <c r="BA5" s="7" t="str" cm="1">
        <f t="array" ref="BA5:BA9">MID(Table1_1[CONVERSION PLANO],SUM($B$4:AZ$4)+1,BA$4)</f>
        <v/>
      </c>
      <c r="BB5" s="7" t="str" cm="1">
        <f t="array" ref="BB5:BB9">MID(Table1_1[CONVERSION PLANO],SUM($B$4:BA$4)+1,BB$4)</f>
        <v/>
      </c>
      <c r="BC5" s="7" t="str" cm="1">
        <f t="array" ref="BC5:BC9">MID(Table1_1[CONVERSION PLANO],SUM($B$4:BB$4)+1,BC$4)</f>
        <v/>
      </c>
      <c r="BD5" s="7" t="str" cm="1">
        <f t="array" ref="BD5:BD9">MID(Table1_1[CONVERSION PLANO],SUM($B$4:BC$4)+1,BD$4)</f>
        <v/>
      </c>
      <c r="BE5" s="7" t="str" cm="1">
        <f t="array" ref="BE5:BE9">MID(Table1_1[CONVERSION PLANO],SUM($B$4:BD$4)+1,BE$4)</f>
        <v/>
      </c>
      <c r="BF5" s="7" t="str" cm="1">
        <f t="array" ref="BF5:BF9">MID(Table1_1[CONVERSION PLANO],SUM($B$4:BE$4)+1,BF$4)</f>
        <v/>
      </c>
      <c r="BG5" s="7" t="str" cm="1">
        <f t="array" ref="BG5:BG9">MID(Table1_1[CONVERSION PLANO],SUM($B$4:BF$4)+1,BG$4)</f>
        <v/>
      </c>
      <c r="BH5" s="7" t="str" cm="1">
        <f t="array" ref="BH5:BH9">MID(Table1_1[CONVERSION PLANO],SUM($B$4:BG$4)+1,BH$4)</f>
        <v/>
      </c>
      <c r="BI5" s="7" t="str" cm="1">
        <f t="array" ref="BI5:BI9">MID(Table1_1[CONVERSION PLANO],SUM($B$4:BH$4)+1,BI$4)</f>
        <v/>
      </c>
      <c r="BJ5" s="7" t="str" cm="1">
        <f t="array" ref="BJ5:BJ9">MID(Table1_1[CONVERSION PLANO],SUM($B$4:BI$4)+1,BJ$4)</f>
        <v/>
      </c>
      <c r="BK5" s="7" t="str" cm="1">
        <f t="array" ref="BK5:BK9">MID(Table1_1[CONVERSION PLANO],SUM($B$4:BJ$4)+1,BK$4)</f>
        <v/>
      </c>
    </row>
    <row r="6" spans="1:63" s="7" customFormat="1" x14ac:dyDescent="0.35">
      <c r="A6" s="25" t="s">
        <v>213</v>
      </c>
      <c r="B6" s="7" t="str">
        <v>0000002</v>
      </c>
      <c r="C6" s="7" t="str">
        <v>0201</v>
      </c>
      <c r="D6" s="7" t="str">
        <v>00</v>
      </c>
      <c r="E6" s="7" t="str">
        <v>15</v>
      </c>
      <c r="F6" s="7" t="str">
        <v>001</v>
      </c>
      <c r="G6" s="7" t="str">
        <v>1</v>
      </c>
      <c r="H6" s="7" t="str">
        <v xml:space="preserve">154564         </v>
      </c>
      <c r="I6" s="7" t="str">
        <v xml:space="preserve">1  </v>
      </c>
      <c r="J6" s="7" t="str">
        <v>1</v>
      </c>
      <c r="K6" s="7" t="str">
        <v xml:space="preserve">NUEVO                                   </v>
      </c>
      <c r="L6" s="7" t="str">
        <v>USD</v>
      </c>
      <c r="M6" s="7" t="str">
        <v xml:space="preserve">2   </v>
      </c>
      <c r="N6" s="7" t="str">
        <v>A</v>
      </c>
      <c r="O6" s="7" t="str">
        <v xml:space="preserve">G  </v>
      </c>
      <c r="P6" s="7" t="str">
        <v>015</v>
      </c>
      <c r="Q6" s="7" t="str">
        <v>+000000000500000.0000</v>
      </c>
      <c r="R6" s="7" t="str">
        <v xml:space="preserve">LOK45          </v>
      </c>
      <c r="S6" s="7" t="str">
        <v xml:space="preserve">2  </v>
      </c>
      <c r="T6" s="7" t="str">
        <v xml:space="preserve">NUE </v>
      </c>
      <c r="U6" s="7" t="str">
        <v xml:space="preserve">201 </v>
      </c>
      <c r="V6" s="7" t="str">
        <v>L01</v>
      </c>
      <c r="W6" s="7" t="str">
        <v>2</v>
      </c>
      <c r="X6" s="7" t="str">
        <v>0500.20</v>
      </c>
      <c r="Y6" s="7" t="str">
        <v>0100.50</v>
      </c>
      <c r="Z6" s="7" t="str">
        <v>0080.65</v>
      </c>
      <c r="AA6" s="7" t="str">
        <v>1</v>
      </c>
      <c r="AB6" s="7" t="str">
        <v>1</v>
      </c>
      <c r="AC6" s="7" t="str">
        <v>1</v>
      </c>
      <c r="AD6" s="7" t="str">
        <v>1</v>
      </c>
      <c r="AE6" s="7" t="str">
        <v xml:space="preserve">5  </v>
      </c>
      <c r="AF6" s="7" t="str">
        <v xml:space="preserve">ESTA ES UNA VERSION DE PRUEBA                                                                                                                                                                                                                                  </v>
      </c>
      <c r="AG6" s="7" t="str">
        <v xml:space="preserve">3057233244                                        </v>
      </c>
      <c r="AH6" s="7" t="str">
        <v xml:space="preserve">la direccion de paquito                 </v>
      </c>
      <c r="AI6" s="7" t="str">
        <v xml:space="preserve">calle 500 n 95 103                      </v>
      </c>
      <c r="AJ6" s="7" t="str">
        <v xml:space="preserve">                                        </v>
      </c>
      <c r="AK6" s="7" t="str">
        <v>101</v>
      </c>
      <c r="AL6" s="7" t="str">
        <v>20</v>
      </c>
      <c r="AM6" s="7" t="str">
        <v>105</v>
      </c>
      <c r="AN6" s="7" t="str">
        <v xml:space="preserve">AS45                                    </v>
      </c>
      <c r="AO6" s="7" t="str">
        <v xml:space="preserve">658525A             </v>
      </c>
      <c r="AP6" s="7" t="str">
        <v xml:space="preserve">KOK5465             </v>
      </c>
      <c r="AQ6" s="7" t="str">
        <v xml:space="preserve">111510DAS </v>
      </c>
      <c r="AR6" s="7" t="str">
        <v xml:space="preserve">omarto.97@gmail.com                                                                                                                                                                                                                                            </v>
      </c>
      <c r="AS6" s="7" t="str">
        <v>20260415</v>
      </c>
      <c r="AT6" s="7" t="str">
        <v xml:space="preserve">5  </v>
      </c>
      <c r="AU6" s="7" t="str">
        <v xml:space="preserve">5                   </v>
      </c>
      <c r="AV6" s="7" t="str">
        <v xml:space="preserve">F45 </v>
      </c>
      <c r="AW6" s="7" t="str">
        <v xml:space="preserve">45646489                           </v>
      </c>
      <c r="AX6" s="7" t="str">
        <v>20260205</v>
      </c>
      <c r="AY6" s="7" t="str">
        <v>0085.20</v>
      </c>
      <c r="AZ6" s="7" t="str">
        <v>20</v>
      </c>
      <c r="BA6" s="7" t="str">
        <v>B15</v>
      </c>
      <c r="BB6" s="7" t="str">
        <v xml:space="preserve">C01 </v>
      </c>
      <c r="BC6" s="7" t="str">
        <v>0</v>
      </c>
      <c r="BD6" s="7" t="str">
        <v>1</v>
      </c>
      <c r="BE6" s="7" t="str">
        <v xml:space="preserve">3219715874                                        </v>
      </c>
      <c r="BF6" s="7" t="str">
        <v>1</v>
      </c>
      <c r="BG6" s="7" t="str">
        <v xml:space="preserve">HGH455    </v>
      </c>
      <c r="BH6" s="7" t="str">
        <v>0000000</v>
      </c>
      <c r="BI6" s="7" t="str">
        <v xml:space="preserve">15 </v>
      </c>
      <c r="BJ6" s="7" t="str">
        <v>2</v>
      </c>
      <c r="BK6" s="7" t="str">
        <v>1</v>
      </c>
    </row>
    <row r="7" spans="1:63" s="7" customFormat="1" x14ac:dyDescent="0.35">
      <c r="A7" s="25" t="s">
        <v>217</v>
      </c>
      <c r="B7" s="7" t="str">
        <v>0000003</v>
      </c>
      <c r="C7" s="7" t="str">
        <v>0201</v>
      </c>
      <c r="D7" s="7" t="str">
        <v>00</v>
      </c>
      <c r="E7" s="7" t="str">
        <v>15</v>
      </c>
      <c r="F7" s="7" t="str">
        <v>001</v>
      </c>
      <c r="G7" s="7" t="str">
        <v>1</v>
      </c>
      <c r="H7" s="7" t="str">
        <v xml:space="preserve">154564         </v>
      </c>
      <c r="I7" s="7" t="str">
        <v xml:space="preserve">1  </v>
      </c>
      <c r="J7" s="7" t="str">
        <v>1</v>
      </c>
      <c r="K7" s="7" t="str">
        <v xml:space="preserve">NUEVO                                   </v>
      </c>
      <c r="L7" s="7" t="str">
        <v>USD</v>
      </c>
      <c r="M7" s="7" t="str">
        <v xml:space="preserve">2   </v>
      </c>
      <c r="N7" s="7" t="str">
        <v>A</v>
      </c>
      <c r="O7" s="7" t="str">
        <v xml:space="preserve">G  </v>
      </c>
      <c r="P7" s="7" t="str">
        <v>015</v>
      </c>
      <c r="Q7" s="7" t="str">
        <v>+000000000500000.0000</v>
      </c>
      <c r="R7" s="7" t="str">
        <v xml:space="preserve">LOK45          </v>
      </c>
      <c r="S7" s="7" t="str">
        <v xml:space="preserve">2  </v>
      </c>
      <c r="T7" s="7" t="str">
        <v xml:space="preserve">NUE </v>
      </c>
      <c r="U7" s="7" t="str">
        <v xml:space="preserve">201 </v>
      </c>
      <c r="V7" s="7" t="str">
        <v>L01</v>
      </c>
      <c r="W7" s="7" t="str">
        <v>2</v>
      </c>
      <c r="X7" s="7" t="str">
        <v>0500.20</v>
      </c>
      <c r="Y7" s="7" t="str">
        <v>0100.50</v>
      </c>
      <c r="Z7" s="7" t="str">
        <v>0080.65</v>
      </c>
      <c r="AA7" s="7" t="str">
        <v>1</v>
      </c>
      <c r="AB7" s="7" t="str">
        <v>1</v>
      </c>
      <c r="AC7" s="7" t="str">
        <v>1</v>
      </c>
      <c r="AD7" s="7" t="str">
        <v>1</v>
      </c>
      <c r="AE7" s="7" t="str">
        <v xml:space="preserve">5  </v>
      </c>
      <c r="AF7" s="7" t="str">
        <v xml:space="preserve">ESTA ES UNA VERSION DE PRUEBA                                                                                                                                                                                                                                  </v>
      </c>
      <c r="AG7" s="7" t="str">
        <v xml:space="preserve">3057233244                                        </v>
      </c>
      <c r="AH7" s="7" t="str">
        <v xml:space="preserve">la direccion de paquito                 </v>
      </c>
      <c r="AI7" s="7" t="str">
        <v xml:space="preserve">calle 500 n 95 103                      </v>
      </c>
      <c r="AJ7" s="7" t="str">
        <v xml:space="preserve">                                        </v>
      </c>
      <c r="AK7" s="7" t="str">
        <v>101</v>
      </c>
      <c r="AL7" s="7" t="str">
        <v>20</v>
      </c>
      <c r="AM7" s="7" t="str">
        <v>105</v>
      </c>
      <c r="AN7" s="7" t="str">
        <v xml:space="preserve">AS45                                    </v>
      </c>
      <c r="AO7" s="7" t="str">
        <v xml:space="preserve">658525A             </v>
      </c>
      <c r="AP7" s="7" t="str">
        <v xml:space="preserve">KOK5465             </v>
      </c>
      <c r="AQ7" s="7" t="str">
        <v xml:space="preserve">111510DAS </v>
      </c>
      <c r="AR7" s="7" t="str">
        <v xml:space="preserve">omarto.97@gmail.com                                                                                                                                                                                                                                            </v>
      </c>
      <c r="AS7" s="7" t="str">
        <v>20260415</v>
      </c>
      <c r="AT7" s="7" t="str">
        <v xml:space="preserve">5  </v>
      </c>
      <c r="AU7" s="7" t="str">
        <v xml:space="preserve">5                   </v>
      </c>
      <c r="AV7" s="7" t="str">
        <v xml:space="preserve">F45 </v>
      </c>
      <c r="AW7" s="7" t="str">
        <v xml:space="preserve">45646489                           </v>
      </c>
      <c r="AX7" s="7" t="str">
        <v>20260205</v>
      </c>
      <c r="AY7" s="7" t="str">
        <v>0085.20</v>
      </c>
      <c r="AZ7" s="7" t="str">
        <v>20</v>
      </c>
      <c r="BA7" s="7" t="str">
        <v>B15</v>
      </c>
      <c r="BB7" s="7" t="str">
        <v xml:space="preserve">C01 </v>
      </c>
      <c r="BC7" s="7" t="str">
        <v>0</v>
      </c>
      <c r="BD7" s="7" t="str">
        <v>1</v>
      </c>
      <c r="BE7" s="7" t="str">
        <v xml:space="preserve">3219715874                                        </v>
      </c>
      <c r="BF7" s="7" t="str">
        <v>1</v>
      </c>
      <c r="BG7" s="7" t="str">
        <v xml:space="preserve">HGH455    </v>
      </c>
      <c r="BH7" s="7" t="str">
        <v>0000000</v>
      </c>
      <c r="BI7" s="7" t="str">
        <v xml:space="preserve">15 </v>
      </c>
      <c r="BJ7" s="7" t="str">
        <v>2</v>
      </c>
      <c r="BK7" s="7" t="str">
        <v>1</v>
      </c>
    </row>
    <row r="8" spans="1:63" s="7" customFormat="1" x14ac:dyDescent="0.35">
      <c r="A8" s="25" t="s">
        <v>218</v>
      </c>
      <c r="B8" s="7" t="str">
        <v>0000004</v>
      </c>
      <c r="C8" s="7" t="str">
        <v>0201</v>
      </c>
      <c r="D8" s="7" t="str">
        <v>00</v>
      </c>
      <c r="E8" s="7" t="str">
        <v>15</v>
      </c>
      <c r="F8" s="7" t="str">
        <v>001</v>
      </c>
      <c r="G8" s="7" t="str">
        <v>1</v>
      </c>
      <c r="H8" s="7" t="str">
        <v xml:space="preserve">154564         </v>
      </c>
      <c r="I8" s="7" t="str">
        <v xml:space="preserve">1  </v>
      </c>
      <c r="J8" s="7" t="str">
        <v>1</v>
      </c>
      <c r="K8" s="7" t="str">
        <v xml:space="preserve">NUEVO                                   </v>
      </c>
      <c r="L8" s="7" t="str">
        <v>USD</v>
      </c>
      <c r="M8" s="7" t="str">
        <v xml:space="preserve">2   </v>
      </c>
      <c r="N8" s="7" t="str">
        <v>A</v>
      </c>
      <c r="O8" s="7" t="str">
        <v xml:space="preserve">G  </v>
      </c>
      <c r="P8" s="7" t="str">
        <v>015</v>
      </c>
      <c r="Q8" s="7" t="str">
        <v>+000000000500000.0000</v>
      </c>
      <c r="R8" s="7" t="str">
        <v xml:space="preserve">LOK45          </v>
      </c>
      <c r="S8" s="7" t="str">
        <v xml:space="preserve">2  </v>
      </c>
      <c r="T8" s="7" t="str">
        <v xml:space="preserve">NUE </v>
      </c>
      <c r="U8" s="7" t="str">
        <v xml:space="preserve">201 </v>
      </c>
      <c r="V8" s="7" t="str">
        <v>L01</v>
      </c>
      <c r="W8" s="7" t="str">
        <v>2</v>
      </c>
      <c r="X8" s="7" t="str">
        <v>0500.20</v>
      </c>
      <c r="Y8" s="7" t="str">
        <v>0100.50</v>
      </c>
      <c r="Z8" s="7" t="str">
        <v>0080.65</v>
      </c>
      <c r="AA8" s="7" t="str">
        <v>1</v>
      </c>
      <c r="AB8" s="7" t="str">
        <v>1</v>
      </c>
      <c r="AC8" s="7" t="str">
        <v>1</v>
      </c>
      <c r="AD8" s="7" t="str">
        <v>1</v>
      </c>
      <c r="AE8" s="7" t="str">
        <v xml:space="preserve">5  </v>
      </c>
      <c r="AF8" s="7" t="str">
        <v xml:space="preserve">ESTA ES UNA VERSION DE PRUEBA                                                                                                                                                                                                                                  </v>
      </c>
      <c r="AG8" s="7" t="str">
        <v xml:space="preserve">3057233244                                        </v>
      </c>
      <c r="AH8" s="7" t="str">
        <v xml:space="preserve">la direccion de paquito                 </v>
      </c>
      <c r="AI8" s="7" t="str">
        <v xml:space="preserve">calle 500 n 95 103                      </v>
      </c>
      <c r="AJ8" s="7" t="str">
        <v xml:space="preserve">                                        </v>
      </c>
      <c r="AK8" s="7" t="str">
        <v>101</v>
      </c>
      <c r="AL8" s="7" t="str">
        <v>20</v>
      </c>
      <c r="AM8" s="7" t="str">
        <v>105</v>
      </c>
      <c r="AN8" s="7" t="str">
        <v xml:space="preserve">AS45                                    </v>
      </c>
      <c r="AO8" s="7" t="str">
        <v xml:space="preserve">658525A             </v>
      </c>
      <c r="AP8" s="7" t="str">
        <v xml:space="preserve">KOK5465             </v>
      </c>
      <c r="AQ8" s="7" t="str">
        <v xml:space="preserve">111510DAS </v>
      </c>
      <c r="AR8" s="7" t="str">
        <v xml:space="preserve">omarto.97@gmail.com                                                                                                                                                                                                                                            </v>
      </c>
      <c r="AS8" s="7" t="str">
        <v>20260415</v>
      </c>
      <c r="AT8" s="7" t="str">
        <v xml:space="preserve">5  </v>
      </c>
      <c r="AU8" s="7" t="str">
        <v xml:space="preserve">5                   </v>
      </c>
      <c r="AV8" s="7" t="str">
        <v xml:space="preserve">F45 </v>
      </c>
      <c r="AW8" s="7" t="str">
        <v xml:space="preserve">45646489                           </v>
      </c>
      <c r="AX8" s="7" t="str">
        <v>20260205</v>
      </c>
      <c r="AY8" s="7" t="str">
        <v>0085.20</v>
      </c>
      <c r="AZ8" s="7" t="str">
        <v>20</v>
      </c>
      <c r="BA8" s="7" t="str">
        <v>B15</v>
      </c>
      <c r="BB8" s="7" t="str">
        <v xml:space="preserve">C01 </v>
      </c>
      <c r="BC8" s="7" t="str">
        <v>0</v>
      </c>
      <c r="BD8" s="7" t="str">
        <v>1</v>
      </c>
      <c r="BE8" s="7" t="str">
        <v xml:space="preserve">3219715874                                        </v>
      </c>
      <c r="BF8" s="7" t="str">
        <v>1</v>
      </c>
      <c r="BG8" s="7" t="str">
        <v xml:space="preserve">HGH455    </v>
      </c>
      <c r="BH8" s="7" t="str">
        <v>0000000</v>
      </c>
      <c r="BI8" s="7" t="str">
        <v xml:space="preserve">15 </v>
      </c>
      <c r="BJ8" s="7" t="str">
        <v>2</v>
      </c>
      <c r="BK8" s="7" t="str">
        <v>1</v>
      </c>
    </row>
    <row r="9" spans="1:63" x14ac:dyDescent="0.35">
      <c r="A9" s="25" t="s">
        <v>219</v>
      </c>
      <c r="B9" s="4" t="str">
        <v>0000005</v>
      </c>
      <c r="C9" s="4" t="str">
        <v>9999</v>
      </c>
      <c r="D9" s="4" t="str">
        <v>00</v>
      </c>
      <c r="E9" s="4" t="str">
        <v>01</v>
      </c>
      <c r="F9" s="4" t="str">
        <v>001</v>
      </c>
      <c r="G9" s="4" t="str">
        <v/>
      </c>
      <c r="H9" s="4" t="str">
        <v/>
      </c>
      <c r="I9" s="4" t="str">
        <v/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  <c r="AT9" s="4" t="str">
        <v/>
      </c>
      <c r="AU9" s="4" t="str">
        <v/>
      </c>
      <c r="AV9" s="4" t="str">
        <v/>
      </c>
      <c r="AW9" s="4" t="str">
        <v/>
      </c>
      <c r="AX9" s="4" t="str">
        <v/>
      </c>
      <c r="AY9" s="4" t="str">
        <v/>
      </c>
      <c r="AZ9" s="4" t="str">
        <v/>
      </c>
      <c r="BA9" s="4" t="str">
        <v/>
      </c>
      <c r="BB9" s="4" t="str">
        <v/>
      </c>
      <c r="BC9" s="4" t="str">
        <v/>
      </c>
      <c r="BD9" s="4" t="str">
        <v/>
      </c>
      <c r="BE9" s="4" t="str">
        <v/>
      </c>
      <c r="BF9" s="4" t="str">
        <v/>
      </c>
      <c r="BG9" s="4" t="str">
        <v/>
      </c>
      <c r="BH9" s="4" t="str">
        <v/>
      </c>
      <c r="BI9" s="4" t="str">
        <v/>
      </c>
      <c r="BJ9" s="4" t="str">
        <v/>
      </c>
      <c r="BK9" s="4" t="str">
        <v/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22EF74-278F-4CF4-8145-CE388E866EA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b268d57-2a6f-4e04-b0de-6938583d5ebc}" enabled="0" method="" siteId="{5b268d57-2a6f-4e04-b0de-6938583d5e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Parametros del plano</vt:lpstr>
      <vt:lpstr>Archivo Independiente</vt:lpstr>
      <vt:lpstr>Generacion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Lancheros, Omar Esteban</dc:creator>
  <cp:lastModifiedBy>Torres Lancheros, Omar Esteban</cp:lastModifiedBy>
  <dcterms:created xsi:type="dcterms:W3CDTF">2026-06-19T20:00:55Z</dcterms:created>
  <dcterms:modified xsi:type="dcterms:W3CDTF">2026-06-19T23:11:58Z</dcterms:modified>
</cp:coreProperties>
</file>